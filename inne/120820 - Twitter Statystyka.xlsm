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hidePivotFieldList="1" defaultThemeVersion="124226"/>
  <bookViews>
    <workbookView xWindow="9945" yWindow="240" windowWidth="19215" windowHeight="7620" tabRatio="826"/>
  </bookViews>
  <sheets>
    <sheet name="Dane" sheetId="13" r:id="rId1"/>
    <sheet name="Wykresy" sheetId="4" r:id="rId2"/>
    <sheet name="TEMP" sheetId="3" r:id="rId3"/>
  </sheets>
  <definedNames>
    <definedName name="type_tweet" localSheetId="2">TEMP!$A$1:$A$21</definedName>
    <definedName name="type_tweet_1525" localSheetId="2">TEMP!$A$1:$A$21</definedName>
    <definedName name="type_tweet_1526" localSheetId="2">TEMP!$A$1:$A$21</definedName>
    <definedName name="type_tweet_1527" localSheetId="2">TEMP!$A$1:$A$21</definedName>
    <definedName name="type_tweet_1528" localSheetId="2">TEMP!$A$1:$A$21</definedName>
    <definedName name="type_tweet_1529" localSheetId="2">TEMP!$A$1:$A$21</definedName>
    <definedName name="type_tweet_1531" localSheetId="2">TEMP!$A$1:$A$21</definedName>
    <definedName name="type_tweet_1533" localSheetId="2">TEMP!$A$1:$A$21</definedName>
    <definedName name="type_tweet_1534" localSheetId="2">TEMP!$A$1:$A$21</definedName>
    <definedName name="type_tweet_1536" localSheetId="2">TEMP!$A$1:$A$21</definedName>
    <definedName name="type_tweet_1537" localSheetId="2">TEMP!$A$1:$A$21</definedName>
    <definedName name="type_tweet_1539" localSheetId="2">TEMP!$A$1:$A$21</definedName>
    <definedName name="type_tweet_1541" localSheetId="2">TEMP!$A$1:$A$21</definedName>
    <definedName name="type_tweet_1542" localSheetId="2">TEMP!$A$1:$A$21</definedName>
    <definedName name="type_tweet_1543" localSheetId="2">TEMP!$A$1:$A$21</definedName>
    <definedName name="type_tweet_1545" localSheetId="2">TEMP!$A$1:$A$21</definedName>
    <definedName name="type_tweet_1546" localSheetId="2">TEMP!$A$1:$A$21</definedName>
    <definedName name="type_tweet_1547" localSheetId="2">TEMP!$A$1:$A$21</definedName>
    <definedName name="type_tweet_1548" localSheetId="2">TEMP!$A$1:$A$21</definedName>
    <definedName name="type_tweet_1549" localSheetId="2">TEMP!$A$1:$A$21</definedName>
    <definedName name="type_tweet_1550" localSheetId="2">TEMP!$A$1:$A$21</definedName>
    <definedName name="type_tweet_1551" localSheetId="2">TEMP!$A$1:$A$21</definedName>
    <definedName name="type_tweet_1552" localSheetId="2">TEMP!$A$1:$A$21</definedName>
    <definedName name="type_tweet_1553" localSheetId="2">TEMP!$A$1:$A$21</definedName>
    <definedName name="type_tweet_1554" localSheetId="2">TEMP!$A$1:$A$21</definedName>
    <definedName name="type_tweet_1555" localSheetId="2">TEMP!$A$1:$A$21</definedName>
    <definedName name="type_tweet_1556" localSheetId="2">TEMP!$A$1:$A$21</definedName>
    <definedName name="type_tweet_1557" localSheetId="2">TEMP!$A$1:$A$21</definedName>
    <definedName name="type_tweet_1558" localSheetId="2">TEMP!$A$1:$A$21</definedName>
    <definedName name="type_tweet_1559" localSheetId="2">TEMP!$A$1:$A$21</definedName>
    <definedName name="type_tweet_1560" localSheetId="2">TEMP!$A$1:$A$21</definedName>
    <definedName name="type_tweet_1561" localSheetId="2">TEMP!$A$1:$A$21</definedName>
    <definedName name="type_tweet_1562" localSheetId="2">TEMP!$A$1:$A$21</definedName>
    <definedName name="type_tweet_1563" localSheetId="2">TEMP!$A$1:$A$21</definedName>
    <definedName name="type_tweet_1564" localSheetId="2">TEMP!$A$1:$A$21</definedName>
    <definedName name="type_tweet_1565" localSheetId="2">TEMP!$A$1:$A$21</definedName>
    <definedName name="type_tweet_1566" localSheetId="2">TEMP!$A$1:$A$21</definedName>
    <definedName name="type_tweet_1568" localSheetId="2">TEMP!$A$1:$A$21</definedName>
    <definedName name="type_tweet_1569" localSheetId="2">TEMP!$A$1:$A$21</definedName>
    <definedName name="type_tweet_1570" localSheetId="2">TEMP!$A$1:$A$21</definedName>
    <definedName name="type_tweet_1572" localSheetId="2">TEMP!$A$1:$A$21</definedName>
    <definedName name="type_tweet_1573" localSheetId="2">TEMP!$A$1:$A$21</definedName>
    <definedName name="type_tweet_1574" localSheetId="2">TEMP!$A$1:$A$21</definedName>
    <definedName name="type_tweet_1575" localSheetId="2">TEMP!$A$1:$A$21</definedName>
    <definedName name="type_tweet_1576" localSheetId="2">TEMP!$A$1:$A$21</definedName>
    <definedName name="type_tweet_1577" localSheetId="2">TEMP!$A$1:$A$21</definedName>
    <definedName name="type_tweet_1578" localSheetId="2">TEMP!$A$1:$A$21</definedName>
    <definedName name="type_tweet_1579" localSheetId="2">TEMP!$A$1:$A$21</definedName>
    <definedName name="type_tweet_1580" localSheetId="2">TEMP!$A$1:$A$21</definedName>
    <definedName name="type_tweet_1581" localSheetId="2">TEMP!$A$1:$A$21</definedName>
    <definedName name="type_tweet_1582" localSheetId="2">TEMP!$A$1:$A$21</definedName>
    <definedName name="type_tweet_1583" localSheetId="2">TEMP!$A$1:$A$21</definedName>
    <definedName name="type_tweet_1584" localSheetId="2">TEMP!$A$1:$A$21</definedName>
    <definedName name="type_tweet_1585" localSheetId="2">TEMP!$A$1:$A$21</definedName>
    <definedName name="type_tweet_1586" localSheetId="2">TEMP!$A$1:$A$21</definedName>
    <definedName name="type_tweet_1587" localSheetId="2">TEMP!$A$1:$A$21</definedName>
    <definedName name="type_tweet_1588" localSheetId="2">TEMP!$A$1:$A$21</definedName>
    <definedName name="type_tweet_1589" localSheetId="2">TEMP!$A$1:$A$21</definedName>
    <definedName name="type_tweet_1590" localSheetId="2">TEMP!$A$1:$A$21</definedName>
    <definedName name="type_tweet_1591" localSheetId="2">TEMP!$A$1:$A$21</definedName>
    <definedName name="type_tweet_1592" localSheetId="2">TEMP!$A$1:$A$21</definedName>
    <definedName name="type_tweet_1593" localSheetId="2">TEMP!$A$1:$A$21</definedName>
    <definedName name="type_tweet_1594" localSheetId="2">TEMP!$A$1:$A$21</definedName>
    <definedName name="type_tweet_1595" localSheetId="2">TEMP!$A$1:$A$21</definedName>
    <definedName name="type_tweet_1596" localSheetId="2">TEMP!$A$1:$A$21</definedName>
    <definedName name="type_tweet_1597" localSheetId="2">TEMP!$A$1:$A$21</definedName>
    <definedName name="type_tweet_1598" localSheetId="2">TEMP!$A$1:$A$21</definedName>
    <definedName name="type_tweet_1599" localSheetId="2">TEMP!$A$1:$A$21</definedName>
    <definedName name="type_tweet_1600" localSheetId="2">TEMP!$A$1:$A$21</definedName>
    <definedName name="type_tweet_1601" localSheetId="2">TEMP!$A$1:$A$21</definedName>
    <definedName name="type_tweet_1602" localSheetId="2">TEMP!$A$1:$A$21</definedName>
    <definedName name="type_tweet_1603" localSheetId="2">TEMP!$A$1:$A$21</definedName>
    <definedName name="type_tweet_1604" localSheetId="2">TEMP!$A$1:$A$21</definedName>
    <definedName name="type_tweet_1605" localSheetId="2">TEMP!$A$1:$A$21</definedName>
    <definedName name="type_tweet_1606" localSheetId="2">TEMP!$A$1:$A$21</definedName>
    <definedName name="type_tweet_1607" localSheetId="2">TEMP!$A$1:$A$21</definedName>
    <definedName name="type_tweet_1608" localSheetId="2">TEMP!$A$1:$A$21</definedName>
    <definedName name="type_tweet_1609" localSheetId="2">TEMP!$A$1:$A$21</definedName>
    <definedName name="type_tweet_1610" localSheetId="2">TEMP!$A$1:$A$21</definedName>
    <definedName name="type_tweet_1611" localSheetId="2">TEMP!$A$1:$A$21</definedName>
    <definedName name="type_tweet_1612" localSheetId="2">TEMP!$A$1:$A$21</definedName>
    <definedName name="type_tweet_1613" localSheetId="2">TEMP!$A$1:$A$21</definedName>
    <definedName name="type_tweet_1614" localSheetId="2">TEMP!$A$1:$A$21</definedName>
    <definedName name="type_tweet_1615" localSheetId="2">TEMP!$A$1:$A$21</definedName>
    <definedName name="type_tweet_1616" localSheetId="2">TEMP!$A$1:$A$21</definedName>
    <definedName name="type_tweet_1617" localSheetId="2">TEMP!$A$1:$A$21</definedName>
    <definedName name="type_tweet_1618" localSheetId="2">TEMP!$A$1:$A$21</definedName>
    <definedName name="type_tweet_1619" localSheetId="2">TEMP!$A$1:$A$21</definedName>
    <definedName name="type_tweet_1620" localSheetId="2">TEMP!$A$1:$A$21</definedName>
    <definedName name="type_tweet_1621" localSheetId="2">TEMP!$A$1:$A$21</definedName>
    <definedName name="type_tweet_1622" localSheetId="2">TEMP!$A$1:$A$21</definedName>
    <definedName name="type_tweet_1623" localSheetId="2">TEMP!$A$1:$A$21</definedName>
    <definedName name="type_tweet_1624" localSheetId="2">TEMP!$A$1:$A$21</definedName>
  </definedNames>
  <calcPr calcId="145621"/>
</workbook>
</file>

<file path=xl/calcChain.xml><?xml version="1.0" encoding="utf-8"?>
<calcChain xmlns="http://schemas.openxmlformats.org/spreadsheetml/2006/main">
  <c r="AH87" i="13" l="1"/>
  <c r="AG87" i="13"/>
  <c r="AF87" i="13"/>
  <c r="AE87" i="13"/>
  <c r="AD87" i="13"/>
  <c r="AC87" i="13"/>
  <c r="AB87" i="13"/>
  <c r="AA87" i="13"/>
  <c r="Z87" i="13"/>
  <c r="AI87" i="13" s="1"/>
  <c r="AJ87" i="13" s="1"/>
  <c r="Z84" i="13" l="1"/>
  <c r="Z85" i="13"/>
  <c r="Z86" i="13"/>
  <c r="AA84" i="13"/>
  <c r="AA85" i="13"/>
  <c r="AA86" i="13"/>
  <c r="AB84" i="13"/>
  <c r="AB85" i="13"/>
  <c r="AB86" i="13"/>
  <c r="AC84" i="13"/>
  <c r="AC85" i="13"/>
  <c r="AC86" i="13"/>
  <c r="AD84" i="13"/>
  <c r="AD85" i="13"/>
  <c r="AD86" i="13"/>
  <c r="AE84" i="13"/>
  <c r="AE85" i="13"/>
  <c r="AE86" i="13"/>
  <c r="AF84" i="13"/>
  <c r="AF85" i="13"/>
  <c r="AF86" i="13"/>
  <c r="AG84" i="13"/>
  <c r="AG85" i="13"/>
  <c r="AG86" i="13"/>
  <c r="AH84" i="13"/>
  <c r="AH85" i="13"/>
  <c r="AH86" i="13"/>
  <c r="AI84" i="13"/>
  <c r="AI85" i="13"/>
  <c r="AI86" i="13" l="1"/>
  <c r="Z71" i="13"/>
  <c r="Z72" i="13"/>
  <c r="Z73" i="13"/>
  <c r="Z74" i="13"/>
  <c r="Z75" i="13"/>
  <c r="Z76" i="13"/>
  <c r="Z77" i="13"/>
  <c r="Z78" i="13"/>
  <c r="Z79" i="13"/>
  <c r="Z80" i="13"/>
  <c r="Z81" i="13"/>
  <c r="Z82" i="13"/>
  <c r="Z83" i="13"/>
  <c r="AA71" i="13"/>
  <c r="AA72" i="13"/>
  <c r="AA73" i="13"/>
  <c r="AA74" i="13"/>
  <c r="AA75" i="13"/>
  <c r="AA76" i="13"/>
  <c r="AA77" i="13"/>
  <c r="AA78" i="13"/>
  <c r="AA79" i="13"/>
  <c r="AA80" i="13"/>
  <c r="AA81" i="13"/>
  <c r="AA82" i="13"/>
  <c r="AA83" i="13"/>
  <c r="AB71" i="13"/>
  <c r="AB72" i="13"/>
  <c r="AB73" i="13"/>
  <c r="AB74" i="13"/>
  <c r="AB75" i="13"/>
  <c r="AB76" i="13"/>
  <c r="AB77" i="13"/>
  <c r="AB78" i="13"/>
  <c r="AB79" i="13"/>
  <c r="AB80" i="13"/>
  <c r="AB81" i="13"/>
  <c r="AB82" i="13"/>
  <c r="AB83" i="13"/>
  <c r="AC71" i="13"/>
  <c r="AC72" i="13"/>
  <c r="AC73" i="13"/>
  <c r="AC74" i="13"/>
  <c r="AC75" i="13"/>
  <c r="AC76" i="13"/>
  <c r="AC77" i="13"/>
  <c r="AC78" i="13"/>
  <c r="AC79" i="13"/>
  <c r="AC80" i="13"/>
  <c r="AC81" i="13"/>
  <c r="AC82" i="13"/>
  <c r="AC83" i="13"/>
  <c r="AD71" i="13"/>
  <c r="AD72" i="13"/>
  <c r="AD73" i="13"/>
  <c r="AD74" i="13"/>
  <c r="AD75" i="13"/>
  <c r="AD76" i="13"/>
  <c r="AD77" i="13"/>
  <c r="AD78" i="13"/>
  <c r="AD79" i="13"/>
  <c r="AD80" i="13"/>
  <c r="AD81" i="13"/>
  <c r="AD82" i="13"/>
  <c r="AD83" i="13"/>
  <c r="AE71" i="13"/>
  <c r="AE72" i="13"/>
  <c r="AE73" i="13"/>
  <c r="AE74" i="13"/>
  <c r="AE75" i="13"/>
  <c r="AE76" i="13"/>
  <c r="AE77" i="13"/>
  <c r="AE78" i="13"/>
  <c r="AE79" i="13"/>
  <c r="AE80" i="13"/>
  <c r="AE81" i="13"/>
  <c r="AE82" i="13"/>
  <c r="AE83" i="13"/>
  <c r="AF71" i="13"/>
  <c r="AF72" i="13"/>
  <c r="AF73" i="13"/>
  <c r="AF74" i="13"/>
  <c r="AF75" i="13"/>
  <c r="AF76" i="13"/>
  <c r="AF77" i="13"/>
  <c r="AF78" i="13"/>
  <c r="AF79" i="13"/>
  <c r="AF80" i="13"/>
  <c r="AF81" i="13"/>
  <c r="AF82" i="13"/>
  <c r="AF83" i="13"/>
  <c r="AG71" i="13"/>
  <c r="AG72" i="13"/>
  <c r="AG73" i="13"/>
  <c r="AG74" i="13"/>
  <c r="AG75" i="13"/>
  <c r="AG76" i="13"/>
  <c r="AG77" i="13"/>
  <c r="AG78" i="13"/>
  <c r="AG79" i="13"/>
  <c r="AG80" i="13"/>
  <c r="AG81" i="13"/>
  <c r="AG82" i="13"/>
  <c r="AG83" i="13"/>
  <c r="AH71" i="13"/>
  <c r="AH72" i="13"/>
  <c r="AH73" i="13"/>
  <c r="AH74" i="13"/>
  <c r="AH75" i="13"/>
  <c r="AH76" i="13"/>
  <c r="AH77" i="13"/>
  <c r="AH78" i="13"/>
  <c r="AH79" i="13"/>
  <c r="AH80" i="13"/>
  <c r="AH81" i="13"/>
  <c r="AH82" i="13"/>
  <c r="AH83" i="13"/>
  <c r="AI81" i="13" l="1"/>
  <c r="AI75" i="13"/>
  <c r="AI80" i="13"/>
  <c r="AI74" i="13"/>
  <c r="AI78" i="13"/>
  <c r="AJ84" i="13" s="1"/>
  <c r="AI76" i="13"/>
  <c r="AI72" i="13"/>
  <c r="AI79" i="13"/>
  <c r="AI73" i="13"/>
  <c r="AI83" i="13"/>
  <c r="AI77" i="13"/>
  <c r="AJ83" i="13" s="1"/>
  <c r="AI71" i="13"/>
  <c r="AI82" i="13"/>
  <c r="AJ81" i="13" l="1"/>
  <c r="AJ82" i="13"/>
  <c r="AJ80" i="13"/>
  <c r="AJ86" i="13"/>
  <c r="AJ85" i="13"/>
  <c r="AJ77" i="13"/>
  <c r="AJ78" i="13"/>
  <c r="AJ79" i="13"/>
  <c r="AH70" i="13"/>
  <c r="AG70" i="13"/>
  <c r="AF70" i="13"/>
  <c r="AE70" i="13"/>
  <c r="AD70" i="13"/>
  <c r="AC70" i="13"/>
  <c r="AB70" i="13"/>
  <c r="AA70" i="13"/>
  <c r="Z70" i="13"/>
  <c r="AI70" i="13" l="1"/>
  <c r="AJ76" i="13" s="1"/>
  <c r="Z62" i="13"/>
  <c r="AA62" i="13"/>
  <c r="AB62" i="13"/>
  <c r="AC62" i="13"/>
  <c r="AD62" i="13"/>
  <c r="AE62" i="13"/>
  <c r="AF62" i="13"/>
  <c r="AG62" i="13"/>
  <c r="AH62" i="13"/>
  <c r="AD69" i="13"/>
  <c r="Z6" i="13"/>
  <c r="Z7" i="13"/>
  <c r="Z8" i="13"/>
  <c r="Z9" i="13"/>
  <c r="Z10" i="13"/>
  <c r="Z11" i="13"/>
  <c r="Z12" i="13"/>
  <c r="Z13" i="13"/>
  <c r="Z14" i="13"/>
  <c r="Z15" i="13"/>
  <c r="Z16" i="13"/>
  <c r="Z17" i="13"/>
  <c r="Z18" i="13"/>
  <c r="Z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3" i="13"/>
  <c r="Z64" i="13"/>
  <c r="Z65" i="13"/>
  <c r="Z66" i="13"/>
  <c r="Z67" i="13"/>
  <c r="Z68" i="13"/>
  <c r="Z69" i="13"/>
  <c r="AH69" i="13"/>
  <c r="AG69" i="13"/>
  <c r="AF69" i="13"/>
  <c r="AE69" i="13"/>
  <c r="AC69" i="13"/>
  <c r="AB69" i="13"/>
  <c r="AA69" i="13"/>
  <c r="AH68" i="13"/>
  <c r="AG68" i="13"/>
  <c r="AF68" i="13"/>
  <c r="AE68" i="13"/>
  <c r="AD68" i="13"/>
  <c r="AC68" i="13"/>
  <c r="AB68" i="13"/>
  <c r="AA68" i="13"/>
  <c r="AH67" i="13"/>
  <c r="AG67" i="13"/>
  <c r="AF67" i="13"/>
  <c r="AE67" i="13"/>
  <c r="AD67" i="13"/>
  <c r="AC67" i="13"/>
  <c r="AB67" i="13"/>
  <c r="AA67" i="13"/>
  <c r="AH66" i="13"/>
  <c r="AG66" i="13"/>
  <c r="AF66" i="13"/>
  <c r="AE66" i="13"/>
  <c r="AD66" i="13"/>
  <c r="AC66" i="13"/>
  <c r="AB66" i="13"/>
  <c r="AA66" i="13"/>
  <c r="AH65" i="13"/>
  <c r="AG65" i="13"/>
  <c r="AF65" i="13"/>
  <c r="AE65" i="13"/>
  <c r="AD65" i="13"/>
  <c r="AC65" i="13"/>
  <c r="AB65" i="13"/>
  <c r="AA65" i="13"/>
  <c r="AH64" i="13"/>
  <c r="AG64" i="13"/>
  <c r="AF64" i="13"/>
  <c r="AE64" i="13"/>
  <c r="AD64" i="13"/>
  <c r="AC64" i="13"/>
  <c r="AB64" i="13"/>
  <c r="AA64" i="13"/>
  <c r="AH63" i="13"/>
  <c r="AG63" i="13"/>
  <c r="AF63" i="13"/>
  <c r="AE63" i="13"/>
  <c r="AD63" i="13"/>
  <c r="AC63" i="13"/>
  <c r="AB63" i="13"/>
  <c r="AA63" i="13"/>
  <c r="AI63" i="13" l="1"/>
  <c r="AI62" i="13"/>
  <c r="AI64" i="13"/>
  <c r="AI67" i="13"/>
  <c r="AI68" i="13"/>
  <c r="AJ74" i="13" s="1"/>
  <c r="AI66" i="13"/>
  <c r="AI69" i="13"/>
  <c r="AJ75" i="13" s="1"/>
  <c r="AI65" i="13"/>
  <c r="AH61" i="13"/>
  <c r="AG61" i="13"/>
  <c r="AF61" i="13"/>
  <c r="AE61" i="13"/>
  <c r="AD61" i="13"/>
  <c r="AC61" i="13"/>
  <c r="AB61" i="13"/>
  <c r="AA61" i="13"/>
  <c r="AJ72" i="13" l="1"/>
  <c r="AJ70" i="13"/>
  <c r="AJ73" i="13"/>
  <c r="AJ71" i="13"/>
  <c r="AJ68" i="13"/>
  <c r="AJ69" i="13"/>
  <c r="AI61" i="13"/>
  <c r="AJ67" i="13" s="1"/>
  <c r="AH60" i="13"/>
  <c r="AG60" i="13"/>
  <c r="AF60" i="13"/>
  <c r="AE60" i="13"/>
  <c r="AD60" i="13"/>
  <c r="AC60" i="13"/>
  <c r="AB60" i="13"/>
  <c r="AA60" i="13"/>
  <c r="AI60" i="13" l="1"/>
  <c r="AJ66" i="13" s="1"/>
  <c r="AA56" i="13"/>
  <c r="AB56" i="13"/>
  <c r="AC56" i="13"/>
  <c r="AD56" i="13"/>
  <c r="AE56" i="13"/>
  <c r="AF56" i="13"/>
  <c r="AG56" i="13"/>
  <c r="AH56" i="13"/>
  <c r="AA57" i="13"/>
  <c r="AB57" i="13"/>
  <c r="AC57" i="13"/>
  <c r="AD57" i="13"/>
  <c r="AE57" i="13"/>
  <c r="AF57" i="13"/>
  <c r="AG57" i="13"/>
  <c r="AH57" i="13"/>
  <c r="AA58" i="13"/>
  <c r="AB58" i="13"/>
  <c r="AC58" i="13"/>
  <c r="AD58" i="13"/>
  <c r="AE58" i="13"/>
  <c r="AF58" i="13"/>
  <c r="AG58" i="13"/>
  <c r="AH58" i="13"/>
  <c r="AA59" i="13"/>
  <c r="AB59" i="13"/>
  <c r="AC59" i="13"/>
  <c r="AD59" i="13"/>
  <c r="AE59" i="13"/>
  <c r="AF59" i="13"/>
  <c r="AG59" i="13"/>
  <c r="AH59" i="13"/>
  <c r="AI56" i="13" l="1"/>
  <c r="AI59" i="13"/>
  <c r="AJ65" i="13" s="1"/>
  <c r="AI57" i="13"/>
  <c r="AI58" i="13"/>
  <c r="AJ64" i="13" s="1"/>
  <c r="AJ63" i="13" l="1"/>
  <c r="AJ62" i="13"/>
  <c r="AI5" i="13"/>
  <c r="AI4" i="13"/>
  <c r="AH55" i="13"/>
  <c r="AH6" i="13"/>
  <c r="AH7" i="13"/>
  <c r="AH8" i="13"/>
  <c r="AH9" i="13"/>
  <c r="AH10" i="13"/>
  <c r="AH11" i="13"/>
  <c r="AH12" i="13"/>
  <c r="AH13" i="13"/>
  <c r="AH14" i="13"/>
  <c r="AH15" i="13"/>
  <c r="AH16" i="13"/>
  <c r="AH17" i="13"/>
  <c r="AH18" i="13"/>
  <c r="AH19" i="13"/>
  <c r="AH20" i="13"/>
  <c r="AH21" i="13"/>
  <c r="AH22" i="13"/>
  <c r="AH23" i="13"/>
  <c r="AH24" i="13"/>
  <c r="AH25" i="13"/>
  <c r="AH26" i="13"/>
  <c r="AH27" i="13"/>
  <c r="AH28" i="13"/>
  <c r="AH29" i="13"/>
  <c r="AH30" i="13"/>
  <c r="AH31" i="13"/>
  <c r="AH32" i="13"/>
  <c r="AH33" i="13"/>
  <c r="AH34" i="13"/>
  <c r="AH35" i="13"/>
  <c r="AH36" i="13"/>
  <c r="AH37" i="13"/>
  <c r="AH38" i="13"/>
  <c r="AH39" i="13"/>
  <c r="AH40" i="13"/>
  <c r="AH41" i="13"/>
  <c r="AH42" i="13"/>
  <c r="AH43" i="13"/>
  <c r="AH44" i="13"/>
  <c r="AH45" i="13"/>
  <c r="AH46" i="13"/>
  <c r="AH47" i="13"/>
  <c r="AH48" i="13"/>
  <c r="AH49" i="13"/>
  <c r="AH50" i="13"/>
  <c r="AH51" i="13"/>
  <c r="AH52" i="13"/>
  <c r="AH53" i="13"/>
  <c r="AH54" i="13"/>
  <c r="AG6" i="13"/>
  <c r="AG7" i="13"/>
  <c r="AG8" i="13"/>
  <c r="AG9" i="13"/>
  <c r="AG10" i="13"/>
  <c r="AG11" i="13"/>
  <c r="AG12" i="13"/>
  <c r="AG13" i="13"/>
  <c r="AG14" i="13"/>
  <c r="AG15" i="13"/>
  <c r="AG16" i="13"/>
  <c r="AG17" i="13"/>
  <c r="AG18" i="13"/>
  <c r="AG19" i="13"/>
  <c r="AG20" i="13"/>
  <c r="AG21" i="13"/>
  <c r="AG22" i="13"/>
  <c r="AG23" i="13"/>
  <c r="AG24" i="13"/>
  <c r="AG25" i="13"/>
  <c r="AG26" i="13"/>
  <c r="AG27" i="13"/>
  <c r="AG28" i="13"/>
  <c r="AG29" i="13"/>
  <c r="AG30" i="13"/>
  <c r="AG31" i="13"/>
  <c r="AG32" i="13"/>
  <c r="AG33" i="13"/>
  <c r="AG34" i="13"/>
  <c r="AG35" i="13"/>
  <c r="AG36" i="13"/>
  <c r="AG37" i="13"/>
  <c r="AG38" i="13"/>
  <c r="AG39" i="13"/>
  <c r="AG40" i="13"/>
  <c r="AG41" i="13"/>
  <c r="AG42" i="13"/>
  <c r="AG43" i="13"/>
  <c r="AG44" i="13"/>
  <c r="AG45" i="13"/>
  <c r="AG46" i="13"/>
  <c r="AG47" i="13"/>
  <c r="AG48" i="13"/>
  <c r="AG49" i="13"/>
  <c r="AG50" i="13"/>
  <c r="AG51" i="13"/>
  <c r="AG52" i="13"/>
  <c r="AG53" i="13"/>
  <c r="AG54" i="13"/>
  <c r="AG55" i="13"/>
  <c r="AF6" i="13"/>
  <c r="AF7" i="13"/>
  <c r="AF8" i="13"/>
  <c r="AF9" i="13"/>
  <c r="AF10" i="13"/>
  <c r="AF11" i="13"/>
  <c r="AF12" i="13"/>
  <c r="AF13" i="13"/>
  <c r="AF14" i="13"/>
  <c r="AF15" i="13"/>
  <c r="AF16" i="13"/>
  <c r="AF17" i="13"/>
  <c r="AF18" i="13"/>
  <c r="AF19" i="13"/>
  <c r="AF20" i="13"/>
  <c r="AF21" i="13"/>
  <c r="AF22" i="13"/>
  <c r="AF23" i="13"/>
  <c r="AF24" i="13"/>
  <c r="AF25" i="13"/>
  <c r="AF26" i="13"/>
  <c r="AF27" i="13"/>
  <c r="AF28" i="13"/>
  <c r="AF29" i="13"/>
  <c r="AF30" i="13"/>
  <c r="AF31" i="13"/>
  <c r="AF32" i="13"/>
  <c r="AF33" i="13"/>
  <c r="AF34" i="13"/>
  <c r="AF35" i="13"/>
  <c r="AF36" i="13"/>
  <c r="AF37" i="13"/>
  <c r="AF38" i="13"/>
  <c r="AF39" i="13"/>
  <c r="AF40" i="13"/>
  <c r="AF41" i="13"/>
  <c r="AF42" i="13"/>
  <c r="AF43" i="13"/>
  <c r="AF44" i="13"/>
  <c r="AF45" i="13"/>
  <c r="AF46" i="13"/>
  <c r="AF47" i="13"/>
  <c r="AF48" i="13"/>
  <c r="AF49" i="13"/>
  <c r="AF50" i="13"/>
  <c r="AF51" i="13"/>
  <c r="AF52" i="13"/>
  <c r="AF53" i="13"/>
  <c r="AF54" i="13"/>
  <c r="AF55" i="13"/>
  <c r="AD6" i="13"/>
  <c r="AE6" i="13"/>
  <c r="AD7" i="13"/>
  <c r="AE7" i="13"/>
  <c r="AD8" i="13"/>
  <c r="AE8" i="13"/>
  <c r="AD9" i="13"/>
  <c r="AE9" i="13"/>
  <c r="AD10" i="13"/>
  <c r="AE10" i="13"/>
  <c r="AD11" i="13"/>
  <c r="AE11" i="13"/>
  <c r="AD12" i="13"/>
  <c r="AE12" i="13"/>
  <c r="AD13" i="13"/>
  <c r="AE13" i="13"/>
  <c r="AD14" i="13"/>
  <c r="AE14" i="13"/>
  <c r="AD15" i="13"/>
  <c r="AE15" i="13"/>
  <c r="AD16" i="13"/>
  <c r="AE16" i="13"/>
  <c r="AD17" i="13"/>
  <c r="AE17" i="13"/>
  <c r="AD18" i="13"/>
  <c r="AE18" i="13"/>
  <c r="AD19" i="13"/>
  <c r="AE19" i="13"/>
  <c r="AD20" i="13"/>
  <c r="AE20" i="13"/>
  <c r="AD21" i="13"/>
  <c r="AE21" i="13"/>
  <c r="AD22" i="13"/>
  <c r="AE22" i="13"/>
  <c r="AD23" i="13"/>
  <c r="AE23" i="13"/>
  <c r="AD24" i="13"/>
  <c r="AE24" i="13"/>
  <c r="AD25" i="13"/>
  <c r="AE25" i="13"/>
  <c r="AD26" i="13"/>
  <c r="AE26" i="13"/>
  <c r="AD27" i="13"/>
  <c r="AE27" i="13"/>
  <c r="AD28" i="13"/>
  <c r="AE28" i="13"/>
  <c r="AD29" i="13"/>
  <c r="AE29" i="13"/>
  <c r="AD30" i="13"/>
  <c r="AE30" i="13"/>
  <c r="AD31" i="13"/>
  <c r="AE31" i="13"/>
  <c r="AD32" i="13"/>
  <c r="AE32" i="13"/>
  <c r="AD33" i="13"/>
  <c r="AE33" i="13"/>
  <c r="AD34" i="13"/>
  <c r="AE34" i="13"/>
  <c r="AD35" i="13"/>
  <c r="AE35" i="13"/>
  <c r="AD36" i="13"/>
  <c r="AE36" i="13"/>
  <c r="AD37" i="13"/>
  <c r="AE37" i="13"/>
  <c r="AD38" i="13"/>
  <c r="AE38" i="13"/>
  <c r="AD39" i="13"/>
  <c r="AE39" i="13"/>
  <c r="AD40" i="13"/>
  <c r="AE40" i="13"/>
  <c r="AD41" i="13"/>
  <c r="AE41" i="13"/>
  <c r="AD42" i="13"/>
  <c r="AE42" i="13"/>
  <c r="AD43" i="13"/>
  <c r="AE43" i="13"/>
  <c r="AD44" i="13"/>
  <c r="AE44" i="13"/>
  <c r="AD45" i="13"/>
  <c r="AE45" i="13"/>
  <c r="AD46" i="13"/>
  <c r="AE46" i="13"/>
  <c r="AD47" i="13"/>
  <c r="AE47" i="13"/>
  <c r="AD48" i="13"/>
  <c r="AE48" i="13"/>
  <c r="AD49" i="13"/>
  <c r="AE49" i="13"/>
  <c r="AD50" i="13"/>
  <c r="AE50" i="13"/>
  <c r="AD51" i="13"/>
  <c r="AE51" i="13"/>
  <c r="AD52" i="13"/>
  <c r="AE52" i="13"/>
  <c r="AD53" i="13"/>
  <c r="AE53" i="13"/>
  <c r="AD54" i="13"/>
  <c r="AE54" i="13"/>
  <c r="AD55" i="13"/>
  <c r="AE55" i="13"/>
  <c r="AA6" i="13"/>
  <c r="AB6" i="13"/>
  <c r="AC6" i="13"/>
  <c r="AA7" i="13"/>
  <c r="AB7" i="13"/>
  <c r="AC7" i="13"/>
  <c r="AA8" i="13"/>
  <c r="AB8" i="13"/>
  <c r="AC8" i="13"/>
  <c r="AA9" i="13"/>
  <c r="AB9" i="13"/>
  <c r="AC9" i="13"/>
  <c r="AA10" i="13"/>
  <c r="AB10" i="13"/>
  <c r="AC10" i="13"/>
  <c r="AA11" i="13"/>
  <c r="AB11" i="13"/>
  <c r="AC11" i="13"/>
  <c r="AA12" i="13"/>
  <c r="AB12" i="13"/>
  <c r="AC12" i="13"/>
  <c r="AA13" i="13"/>
  <c r="AB13" i="13"/>
  <c r="AC13" i="13"/>
  <c r="AA14" i="13"/>
  <c r="AB14" i="13"/>
  <c r="AC14" i="13"/>
  <c r="AA15" i="13"/>
  <c r="AB15" i="13"/>
  <c r="AC15" i="13"/>
  <c r="AA16" i="13"/>
  <c r="AB16" i="13"/>
  <c r="AC16" i="13"/>
  <c r="AA17" i="13"/>
  <c r="AB17" i="13"/>
  <c r="AC17" i="13"/>
  <c r="AA18" i="13"/>
  <c r="AB18" i="13"/>
  <c r="AC18" i="13"/>
  <c r="AA19" i="13"/>
  <c r="AB19" i="13"/>
  <c r="AC19" i="13"/>
  <c r="AA20" i="13"/>
  <c r="AB20" i="13"/>
  <c r="AC20" i="13"/>
  <c r="AA21" i="13"/>
  <c r="AB21" i="13"/>
  <c r="AC21" i="13"/>
  <c r="AA22" i="13"/>
  <c r="AB22" i="13"/>
  <c r="AC22" i="13"/>
  <c r="AA23" i="13"/>
  <c r="AB23" i="13"/>
  <c r="AC23" i="13"/>
  <c r="AA24" i="13"/>
  <c r="AB24" i="13"/>
  <c r="AC24" i="13"/>
  <c r="AA25" i="13"/>
  <c r="AB25" i="13"/>
  <c r="AC25" i="13"/>
  <c r="AA26" i="13"/>
  <c r="AB26" i="13"/>
  <c r="AC26" i="13"/>
  <c r="AA27" i="13"/>
  <c r="AB27" i="13"/>
  <c r="AC27" i="13"/>
  <c r="AA28" i="13"/>
  <c r="AB28" i="13"/>
  <c r="AC28" i="13"/>
  <c r="AA29" i="13"/>
  <c r="AB29" i="13"/>
  <c r="AC29" i="13"/>
  <c r="AA30" i="13"/>
  <c r="AB30" i="13"/>
  <c r="AC30" i="13"/>
  <c r="AA31" i="13"/>
  <c r="AB31" i="13"/>
  <c r="AC31" i="13"/>
  <c r="AA32" i="13"/>
  <c r="AB32" i="13"/>
  <c r="AC32" i="13"/>
  <c r="AA33" i="13"/>
  <c r="AB33" i="13"/>
  <c r="AC33" i="13"/>
  <c r="AA34" i="13"/>
  <c r="AB34" i="13"/>
  <c r="AC34" i="13"/>
  <c r="AA35" i="13"/>
  <c r="AB35" i="13"/>
  <c r="AC35" i="13"/>
  <c r="AA36" i="13"/>
  <c r="AB36" i="13"/>
  <c r="AC36" i="13"/>
  <c r="AA37" i="13"/>
  <c r="AB37" i="13"/>
  <c r="AC37" i="13"/>
  <c r="AA38" i="13"/>
  <c r="AB38" i="13"/>
  <c r="AC38" i="13"/>
  <c r="AA39" i="13"/>
  <c r="AB39" i="13"/>
  <c r="AC39" i="13"/>
  <c r="AA40" i="13"/>
  <c r="AB40" i="13"/>
  <c r="AC40" i="13"/>
  <c r="AA41" i="13"/>
  <c r="AB41" i="13"/>
  <c r="AC41" i="13"/>
  <c r="AA42" i="13"/>
  <c r="AB42" i="13"/>
  <c r="AC42" i="13"/>
  <c r="AA43" i="13"/>
  <c r="AB43" i="13"/>
  <c r="AC43" i="13"/>
  <c r="AA44" i="13"/>
  <c r="AB44" i="13"/>
  <c r="AC44" i="13"/>
  <c r="AA45" i="13"/>
  <c r="AB45" i="13"/>
  <c r="AC45" i="13"/>
  <c r="AA46" i="13"/>
  <c r="AB46" i="13"/>
  <c r="AC46" i="13"/>
  <c r="AA47" i="13"/>
  <c r="AB47" i="13"/>
  <c r="AC47" i="13"/>
  <c r="AA48" i="13"/>
  <c r="AB48" i="13"/>
  <c r="AC48" i="13"/>
  <c r="AA49" i="13"/>
  <c r="AB49" i="13"/>
  <c r="AC49" i="13"/>
  <c r="AA50" i="13"/>
  <c r="AB50" i="13"/>
  <c r="AC50" i="13"/>
  <c r="AA51" i="13"/>
  <c r="AB51" i="13"/>
  <c r="AC51" i="13"/>
  <c r="AA52" i="13"/>
  <c r="AB52" i="13"/>
  <c r="AC52" i="13"/>
  <c r="AA53" i="13"/>
  <c r="AB53" i="13"/>
  <c r="AC53" i="13"/>
  <c r="AA54" i="13"/>
  <c r="AB54" i="13"/>
  <c r="AC54" i="13"/>
  <c r="AA55" i="13"/>
  <c r="AB55" i="13"/>
  <c r="AC55" i="13"/>
  <c r="AI55" i="13" l="1"/>
  <c r="AJ61" i="13" s="1"/>
  <c r="AI10" i="13"/>
  <c r="AI40" i="13"/>
  <c r="AI44" i="13"/>
  <c r="AI38" i="13"/>
  <c r="AI32" i="13"/>
  <c r="AI26" i="13"/>
  <c r="AI20" i="13"/>
  <c r="AI14" i="13"/>
  <c r="AI8" i="13"/>
  <c r="AI52" i="13"/>
  <c r="AI34" i="13"/>
  <c r="AI28" i="13"/>
  <c r="AI22" i="13"/>
  <c r="AI46" i="13"/>
  <c r="AI50" i="13"/>
  <c r="AI43" i="13"/>
  <c r="AI37" i="13"/>
  <c r="AI31" i="13"/>
  <c r="AI25" i="13"/>
  <c r="AI49" i="13"/>
  <c r="AI16" i="13"/>
  <c r="AI51" i="13"/>
  <c r="AI45" i="13"/>
  <c r="AI39" i="13"/>
  <c r="AI33" i="13"/>
  <c r="AI27" i="13"/>
  <c r="AI21" i="13"/>
  <c r="AI15" i="13"/>
  <c r="AI9" i="13"/>
  <c r="AI19" i="13"/>
  <c r="AI13" i="13"/>
  <c r="AI54" i="13"/>
  <c r="AJ60" i="13" s="1"/>
  <c r="AI24" i="13"/>
  <c r="AI7" i="13"/>
  <c r="AI42" i="13"/>
  <c r="AI30" i="13"/>
  <c r="AI18" i="13"/>
  <c r="AI6" i="13"/>
  <c r="AI53" i="13"/>
  <c r="AJ59" i="13" s="1"/>
  <c r="AI47" i="13"/>
  <c r="AI41" i="13"/>
  <c r="AI35" i="13"/>
  <c r="AI29" i="13"/>
  <c r="AI23" i="13"/>
  <c r="AI17" i="13"/>
  <c r="AI11" i="13"/>
  <c r="AI48" i="13"/>
  <c r="AI36" i="13"/>
  <c r="AI12" i="13"/>
  <c r="AJ10" i="13" l="1"/>
  <c r="AJ50" i="13"/>
  <c r="AJ22" i="13"/>
  <c r="AJ55" i="13"/>
  <c r="AJ52" i="13"/>
  <c r="AJ46" i="13"/>
  <c r="AJ56" i="13"/>
  <c r="AJ45" i="13"/>
  <c r="AJ54" i="13"/>
  <c r="AJ47" i="13"/>
  <c r="AJ48" i="13"/>
  <c r="AJ51" i="13"/>
  <c r="AJ11" i="13"/>
  <c r="AJ53" i="13"/>
  <c r="AJ57" i="13"/>
  <c r="AJ49" i="13"/>
  <c r="AJ58" i="13"/>
  <c r="AJ44" i="13"/>
  <c r="AJ13" i="13"/>
  <c r="AJ12" i="13"/>
  <c r="AJ17" i="13"/>
  <c r="AJ21" i="13"/>
  <c r="AJ26" i="13"/>
  <c r="AJ32" i="13"/>
  <c r="AJ24" i="13"/>
  <c r="AJ16" i="13"/>
  <c r="AJ41" i="13"/>
  <c r="AJ36" i="13"/>
  <c r="AJ43" i="13"/>
  <c r="AJ31" i="13"/>
  <c r="AJ30" i="13"/>
  <c r="AJ25" i="13"/>
  <c r="AJ37" i="13"/>
  <c r="AJ14" i="13"/>
  <c r="AJ18" i="13"/>
  <c r="AJ34" i="13"/>
  <c r="AJ33" i="13"/>
  <c r="AJ27" i="13"/>
  <c r="AJ42" i="13"/>
  <c r="AJ20" i="13"/>
  <c r="AJ23" i="13"/>
  <c r="AJ29" i="13"/>
  <c r="AJ38" i="13"/>
  <c r="AJ19" i="13"/>
  <c r="AJ28" i="13"/>
  <c r="AJ35" i="13"/>
  <c r="AJ39" i="13"/>
  <c r="AJ15" i="13"/>
  <c r="AJ40" i="13"/>
</calcChain>
</file>

<file path=xl/connections.xml><?xml version="1.0" encoding="utf-8"?>
<connections xmlns="http://schemas.openxmlformats.org/spreadsheetml/2006/main">
  <connection id="1" name="Połączenie" type="4" refreshedVersion="0" background="1" saveData="1">
    <webPr url="http://otter.topsy.com/searchcount.txt?q=damascus+-%D8%AF%D9%85%D8%B4%D9%82&amp;type=tweet" htmlTables="1" htmlFormat="all"/>
  </connection>
  <connection id="2" name="Połączenie1" type="4" refreshedVersion="0" background="1" saveData="1">
    <webPr url="http://otter.topsy.com/searchcount.txt?q=aleppo+-%D8%AD%D9%84%D8%A8&amp;type=tweet" htmlTables="1" htmlFormat="all"/>
  </connection>
  <connection id="3" name="Połączenie10" type="4" refreshedVersion="4" background="1" saveData="1">
    <webPr sourceData="1" parsePre="1" consecutive="1" xl2000="1" url="http://otter.topsy.com/searchcount.txt?q=%D8%AD%D9%84%D8%A8&amp;type=tweet"/>
  </connection>
  <connection id="4" name="Połączenie11" type="4" refreshedVersion="0" background="1" saveData="1">
    <webPr url="http://otter.topsy.com/searchcount.txt?q=%D8%AD%D9%85%D8%A7%D8%A9&amp;type=tweet" htmlTables="1" htmlFormat="all"/>
  </connection>
  <connection id="5" name="Połączenie12" type="4" refreshedVersion="4" background="1" saveData="1">
    <webPr sourceData="1" parsePre="1" consecutive="1" xl2000="1" url="http://otter.topsy.com/searchcount.txt?q=%D8%AD%D9%85%D8%B5&amp;type=tweet"/>
  </connection>
  <connection id="6" name="Połączenie13" type="4" refreshedVersion="4" background="1" saveData="1">
    <webPr sourceData="1" parsePre="1" consecutive="1" xl2000="1" url="http://otter.topsy.com/searchcount.txt?q=%D8%AF%D9%8A%D8%B1+%D8%A7%D9%84%D8%B2%D9%88%D8%B1&amp;type=tweet"/>
  </connection>
  <connection id="7" name="Połączenie14" type="4" refreshedVersion="4" background="1" saveData="1">
    <webPr sourceData="1" parsePre="1" consecutive="1" xl2000="1" url="http://otter.topsy.com/searchcount.txt?q=%D8%AF%D8%B1%D8%B9%D8%A7&amp;type=tweet"/>
  </connection>
  <connection id="8" name="Połączenie15" type="4" refreshedVersion="4" background="1" saveData="1">
    <webPr sourceData="1" parsePre="1" consecutive="1" xl2000="1" url="http://otter.topsy.com/searchcount.txt?q=%D8%A7%D9%84%D8%AD%D8%B3%D9%83%D8%A9&amp;type=tweet"/>
  </connection>
  <connection id="9" name="Połączenie16" type="4" refreshedVersion="4" background="1" saveData="1">
    <webPr sourceData="1" parsePre="1" consecutive="1" xl2000="1" url="http://otter.topsy.com/searchcount.txt?q=%D8%A5%D8%AF%D9%84%D8%A8&amp;type=tweet"/>
  </connection>
  <connection id="10" name="Połączenie17" type="4" refreshedVersion="4" background="1" saveData="1">
    <webPr sourceData="1" parsePre="1" consecutive="1" xl2000="1" url="http://otter.topsy.com/searchcount.txt?q=%D8%A7%D9%84%D9%84%D8%A7%D8%B0%D9%82%D9%8A%D8%A9&amp;type=tweet"/>
  </connection>
  <connection id="11" name="Połączenie18" type="4" refreshedVersion="4" background="1" saveData="1">
    <webPr sourceData="1" parsePre="1" consecutive="1" xl2000="1" url="http://otter.topsy.com/searchcount.txt?q=damascus+-%D8%AF%D9%85%D8%B4%D9%82&amp;type=tweet"/>
  </connection>
  <connection id="12" name="Połączenie19" type="4" refreshedVersion="4" background="1" saveData="1">
    <webPr sourceData="1" parsePre="1" consecutive="1" xl2000="1" url="http://otter.topsy.com/searchcount.txt?q=aleppo+-%D8%AD%D9%84%D8%A8&amp;type=tweet"/>
  </connection>
  <connection id="13" name="Połączenie2" type="4" refreshedVersion="0" background="1" saveData="1">
    <webPr url="http://otter.topsy.com/searchcount.txt?q=hama+-%D8%AD%D9%85%D8%A7%D8%A9&amp;type=tweet" htmlTables="1" htmlFormat="all"/>
  </connection>
  <connection id="14" name="Połączenie20" type="4" refreshedVersion="4" background="1" saveData="1">
    <webPr sourceData="1" parsePre="1" consecutive="1" xl2000="1" url="http://otter.topsy.com/searchcount.txt?q=hama+-%D8%AD%D9%85%D8%A7%D8%A9&amp;type=tweet"/>
  </connection>
  <connection id="15" name="Połączenie21" type="4" refreshedVersion="4" background="1" saveData="1">
    <webPr sourceData="1" parsePre="1" consecutive="1" xl2000="1" url="http://otter.topsy.com/searchcount.txt?q=homs+-%D8%AD%D9%85%D8%B5&amp;type=tweet"/>
  </connection>
  <connection id="16" name="Połączenie22" type="4" refreshedVersion="0" background="1">
    <webPr url="http://otter.topsy.com/searchcount.txt?q=deir+ezzor+-%D8%AF%D9%8A%D8%B1+-%D8%A7%D9%84%D8%B2%D9%88%D8%B1&amp;type=tweet" htmlTables="1" htmlFormat="all"/>
  </connection>
  <connection id="17" name="Połączenie23" type="4" refreshedVersion="4" background="1" saveData="1">
    <webPr sourceData="1" parsePre="1" consecutive="1" xl2000="1" url="http://otter.topsy.com/searchcount.txt?q=deir+ezzor+-%D8%AF%D9%8A%D8%B1+-%D8%A7%D9%84%D8%B2%D9%88%D8%B1&amp;type=tweet"/>
  </connection>
  <connection id="18" name="Połączenie24" type="4" refreshedVersion="4" background="1" saveData="1">
    <webPr sourceData="1" parsePre="1" consecutive="1" xl2000="1" url="http://otter.topsy.com/searchcount.txt?q=Daraa+-%D8%AF%D8%B1%D8%B9%D8%A7&amp;type=tweet"/>
  </connection>
  <connection id="19" name="Połączenie25" type="4" refreshedVersion="4" background="1" saveData="1">
    <webPr sourceData="1" parsePre="1" consecutive="1" xl2000="1" url="http://otter.topsy.com/searchcount.txt?q=hasakah+-%D8%A7%D9%84%D8%AD%D8%B3%D9%83%D8%A9&amp;type=tweet"/>
  </connection>
  <connection id="20" name="Połączenie26" type="4" refreshedVersion="0" background="1">
    <webPr url="http://otter.topsy.com/searchcount.txt?q=idlib+-%D8%A5%D8%AF%D9%84%D8%A8&amp;type=tweet" htmlTables="1" htmlFormat="all"/>
  </connection>
  <connection id="21" name="Połączenie27" type="4" refreshedVersion="4" background="1" saveData="1">
    <webPr sourceData="1" parsePre="1" consecutive="1" xl2000="1" url="http://otter.topsy.com/searchcount.txt?q=damascus+-%D8%AF%D9%85%D8%B4%D9%82&amp;type=tweet"/>
  </connection>
  <connection id="22" name="Połączenie28" type="4" refreshedVersion="4" background="1" saveData="1">
    <webPr sourceData="1" parsePre="1" consecutive="1" xl2000="1" url="http://otter.topsy.com/searchcount.txt?q=aleppo+-%D8%AD%D9%84%D8%A8&amp;type=tweet"/>
  </connection>
  <connection id="23" name="Połączenie29" type="4" refreshedVersion="4" background="1" saveData="1">
    <webPr sourceData="1" parsePre="1" consecutive="1" xl2000="1" url="http://otter.topsy.com/searchcount.txt?q=hama+-%D8%AD%D9%85%D8%A7%D8%A9&amp;type=tweet"/>
  </connection>
  <connection id="24" name="Połączenie3" type="4" refreshedVersion="0" background="1" saveData="1">
    <webPr url="http://otter.topsy.com/searchcount.txt?q=homs+-%D8%AD%D9%85%D8%B5&amp;type=tweet" htmlTables="1" htmlFormat="all"/>
  </connection>
  <connection id="25" name="Połączenie30" type="4" refreshedVersion="4" background="1" saveData="1">
    <webPr sourceData="1" parsePre="1" consecutive="1" xl2000="1" url="http://otter.topsy.com/searchcount.txt?q=homs+-%D8%AD%D9%85%D8%B5&amp;type=tweet"/>
  </connection>
  <connection id="26" name="Połączenie31" type="4" refreshedVersion="4" background="1" saveData="1">
    <webPr sourceData="1" parsePre="1" consecutive="1" xl2000="1" url="http://otter.topsy.com/searchcount.txt?q=deir+ezzor+-%D8%AF%D9%8A%D8%B1+-%D8%A7%D9%84%D8%B2%D9%88%D8%B1&amp;type=tweet"/>
  </connection>
  <connection id="27" name="Połączenie32" type="4" refreshedVersion="4" background="1" saveData="1">
    <webPr sourceData="1" parsePre="1" consecutive="1" xl2000="1" url="http://otter.topsy.com/searchcount.txt?q=Daraa+-%D8%AF%D8%B1%D8%B9%D8%A7&amp;type=tweet"/>
  </connection>
  <connection id="28" name="Połączenie33" type="4" refreshedVersion="4" background="1" saveData="1">
    <webPr sourceData="1" parsePre="1" consecutive="1" xl2000="1" url="http://otter.topsy.com/searchcount.txt?q=hasakah+-%D8%A7%D9%84%D8%AD%D8%B3%D9%83%D8%A9&amp;type=tweet"/>
  </connection>
  <connection id="29" name="Połączenie34" type="4" refreshedVersion="4" background="1" saveData="1">
    <webPr sourceData="1" parsePre="1" consecutive="1" xl2000="1" url="http://otter.topsy.com/searchcount.txt?q=idlib+-%D8%A5%D8%AF%D9%84%D8%A8&amp;type=tweet"/>
  </connection>
  <connection id="30" name="Połączenie35" type="4" refreshedVersion="4" background="1" saveData="1">
    <webPr sourceData="1" parsePre="1" consecutive="1" xl2000="1" url="http://otter.topsy.com/searchcount.txt?q=latakia+-%D8%A7%D9%84%D9%84%D8%A7%D8%B0%D9%82%D9%8A%D8%A9&amp;type=tweet"/>
  </connection>
  <connection id="31" name="Połączenie36" type="4" refreshedVersion="4" background="1" saveData="1">
    <webPr sourceData="1" parsePre="1" consecutive="1" xl2000="1" url="http://otter.topsy.com/searchcount.txt?q=%D8%AF%D9%85%D8%B4%D9%82&amp;type=tweet"/>
  </connection>
  <connection id="32" name="Połączenie37" type="4" refreshedVersion="4" background="1" saveData="1">
    <webPr sourceData="1" parsePre="1" consecutive="1" xl2000="1" url="http://otter.topsy.com/searchcount.txt?q=%D8%AD%D9%84%D8%A8&amp;type=tweet"/>
  </connection>
  <connection id="33" name="Połączenie38" type="4" refreshedVersion="4" background="1" saveData="1">
    <webPr sourceData="1" parsePre="1" consecutive="1" xl2000="1" url="http://otter.topsy.com/searchcount.txt?q=%D8%AD%D9%85%D8%A7%D8%A9&amp;type=tweet"/>
  </connection>
  <connection id="34" name="Połączenie39" type="4" refreshedVersion="4" background="1" saveData="1">
    <webPr sourceData="1" parsePre="1" consecutive="1" xl2000="1" url="http://otter.topsy.com/searchcount.txt?q=%D8%AD%D9%85%D8%B5&amp;type=tweet"/>
  </connection>
  <connection id="35" name="Połączenie4" type="4" refreshedVersion="0" background="1" saveData="1">
    <webPr url="http://otter.topsy.com/searchcount.txt?q=deir+ezzor+-%D8%AF%D9%8A%D8%B1+-%D8%A7%D9%84%D8%B2%D9%88%D8%B1&amp;type=tweet" htmlTables="1" htmlFormat="all"/>
  </connection>
  <connection id="36" name="Połączenie40" type="4" refreshedVersion="4" background="1" saveData="1">
    <webPr sourceData="1" parsePre="1" consecutive="1" xl2000="1" url="http://otter.topsy.com/searchcount.txt?q=%D8%AF%D9%8A%D8%B1+%D8%A7%D9%84%D8%B2%D9%88%D8%B1&amp;type=tweet"/>
  </connection>
  <connection id="37" name="Połączenie41" type="4" refreshedVersion="4" background="1" saveData="1">
    <webPr sourceData="1" parsePre="1" consecutive="1" xl2000="1" url="http://otter.topsy.com/searchcount.txt?q=%D8%AF%D8%B1%D8%B9%D8%A7&amp;type=tweet"/>
  </connection>
  <connection id="38" name="Połączenie42" type="4" refreshedVersion="4" background="1" saveData="1">
    <webPr sourceData="1" parsePre="1" consecutive="1" xl2000="1" url="http://otter.topsy.com/searchcount.txt?q=%D8%A7%D9%84%D8%AD%D8%B3%D9%83%D8%A9&amp;type=tweet"/>
  </connection>
  <connection id="39" name="Połączenie43" type="4" refreshedVersion="4" background="1" saveData="1">
    <webPr sourceData="1" parsePre="1" consecutive="1" xl2000="1" url="http://otter.topsy.com/searchcount.txt?q=%D8%A5%D8%AF%D9%84%D8%A8&amp;type=tweet"/>
  </connection>
  <connection id="40" name="Połączenie44" type="4" refreshedVersion="4" background="1" saveData="1">
    <webPr sourceData="1" parsePre="1" consecutive="1" xl2000="1" url="http://otter.topsy.com/searchcount.txt?q=%D8%A7%D9%84%D9%84%D8%A7%D8%B0%D9%82%D9%8A%D8%A9&amp;type=tweet"/>
  </connection>
  <connection id="41" name="Połączenie45" type="4" refreshedVersion="4" background="1" saveData="1">
    <webPr sourceData="1" parsePre="1" consecutive="1" xl2000="1" url="http://otter.topsy.com/searchcount.txt?q=damascus+-%D8%AF%D9%85%D8%B4%D9%82&amp;type=tweet"/>
  </connection>
  <connection id="42" name="Połączenie46" type="4" refreshedVersion="4" background="1" saveData="1">
    <webPr sourceData="1" parsePre="1" consecutive="1" xl2000="1" url="http://otter.topsy.com/searchcount.txt?q=aleppo+-%D8%AD%D9%84%D8%A8&amp;type=tweet"/>
  </connection>
  <connection id="43" name="Połączenie47" type="4" refreshedVersion="4" background="1" saveData="1">
    <webPr sourceData="1" parsePre="1" consecutive="1" xl2000="1" url="http://otter.topsy.com/searchcount.txt?q=hama+-%D8%AD%D9%85%D8%A7%D8%A9&amp;type=tweet"/>
  </connection>
  <connection id="44" name="Połączenie48" type="4" refreshedVersion="4" background="1" saveData="1">
    <webPr sourceData="1" parsePre="1" consecutive="1" xl2000="1" url="http://otter.topsy.com/searchcount.txt?q=homs+-%D8%AD%D9%85%D8%B5&amp;type=tweet"/>
  </connection>
  <connection id="45" name="Połączenie49" type="4" refreshedVersion="4" background="1" saveData="1">
    <webPr sourceData="1" parsePre="1" consecutive="1" xl2000="1" url="http://otter.topsy.com/searchcount.txt?q=deir+ezzor+-%D8%AF%D9%8A%D8%B1+-%D8%A7%D9%84%D8%B2%D9%88%D8%B1&amp;type=tweet"/>
  </connection>
  <connection id="46" name="Połączenie5" type="4" refreshedVersion="4" background="1" saveData="1">
    <webPr sourceData="1" parsePre="1" consecutive="1" xl2000="1" url="http://otter.topsy.com/searchcount.txt?q=Daraa+-%D8%AF%D8%B1%D8%B9%D8%A7&amp;type=tweet"/>
  </connection>
  <connection id="47" name="Połączenie50" type="4" refreshedVersion="4" background="1" saveData="1">
    <webPr sourceData="1" parsePre="1" consecutive="1" xl2000="1" url="http://otter.topsy.com/searchcount.txt?q=Daraa+-%D8%AF%D8%B1%D8%B9%D8%A7&amp;type=tweet"/>
  </connection>
  <connection id="48" name="Połączenie51" type="4" refreshedVersion="4" background="1" saveData="1">
    <webPr sourceData="1" parsePre="1" consecutive="1" xl2000="1" url="http://otter.topsy.com/searchcount.txt?q=hasakah+-%D8%A7%D9%84%D8%AD%D8%B3%D9%83%D8%A9&amp;type=tweet"/>
  </connection>
  <connection id="49" name="Połączenie52" type="4" refreshedVersion="4" background="1" saveData="1">
    <webPr sourceData="1" parsePre="1" consecutive="1" xl2000="1" url="http://otter.topsy.com/searchcount.txt?q=idlib+-%D8%A5%D8%AF%D9%84%D8%A8&amp;type=tweet"/>
  </connection>
  <connection id="50" name="Połączenie53" type="4" refreshedVersion="4" background="1" saveData="1">
    <webPr sourceData="1" parsePre="1" consecutive="1" xl2000="1" url="http://otter.topsy.com/searchcount.txt?q=latakia+-%D8%A7%D9%84%D9%84%D8%A7%D8%B0%D9%82%D9%8A%D8%A9&amp;type=tweet"/>
  </connection>
  <connection id="51" name="Połączenie54" type="4" refreshedVersion="4" background="1" saveData="1">
    <webPr sourceData="1" parsePre="1" consecutive="1" xl2000="1" url="http://otter.topsy.com/searchcount.txt?q=%D8%AF%D9%85%D8%B4%D9%82&amp;type=tweet"/>
  </connection>
  <connection id="52" name="Połączenie55" type="4" refreshedVersion="4" background="1" saveData="1">
    <webPr sourceData="1" parsePre="1" consecutive="1" xl2000="1" url="http://otter.topsy.com/searchcount.txt?q=%D8%AD%D9%84%D8%A8&amp;type=tweet"/>
  </connection>
  <connection id="53" name="Połączenie56" type="4" refreshedVersion="4" background="1" saveData="1">
    <webPr sourceData="1" parsePre="1" consecutive="1" xl2000="1" url="http://otter.topsy.com/searchcount.txt?q=%D8%AD%D9%85%D8%A7%D8%A9&amp;type=tweet"/>
  </connection>
  <connection id="54" name="Połączenie57" type="4" refreshedVersion="4" background="1" saveData="1">
    <webPr sourceData="1" parsePre="1" consecutive="1" xl2000="1" url="http://otter.topsy.com/searchcount.txt?q=%D8%AD%D9%85%D8%B5&amp;type=tweet"/>
  </connection>
  <connection id="55" name="Połączenie58" type="4" refreshedVersion="4" background="1" saveData="1">
    <webPr sourceData="1" parsePre="1" consecutive="1" xl2000="1" url="http://otter.topsy.com/searchcount.txt?q=%D8%AF%D9%8A%D8%B1+%D8%A7%D9%84%D8%B2%D9%88%D8%B1&amp;type=tweet"/>
  </connection>
  <connection id="56" name="Połączenie59" type="4" refreshedVersion="4" background="1" saveData="1">
    <webPr sourceData="1" parsePre="1" consecutive="1" xl2000="1" url="http://otter.topsy.com/searchcount.txt?q=%D8%AF%D8%B1%D8%B9%D8%A7&amp;type=tweet"/>
  </connection>
  <connection id="57" name="Połączenie6" type="4" refreshedVersion="0" background="1" saveData="1">
    <webPr url="http://otter.topsy.com/searchcount.txt?q=hasakah+-%D8%A7%D9%84%D8%AD%D8%B3%D9%83%D8%A9&amp;type=tweet" htmlTables="1" htmlFormat="all"/>
  </connection>
  <connection id="58" name="Połączenie60" type="4" refreshedVersion="4" background="1" saveData="1">
    <webPr sourceData="1" parsePre="1" consecutive="1" xl2000="1" url="http://otter.topsy.com/searchcount.txt?q=%D8%A7%D9%84%D8%AD%D8%B3%D9%83%D8%A9&amp;type=tweet"/>
  </connection>
  <connection id="59" name="Połączenie61" type="4" refreshedVersion="4" background="1" saveData="1">
    <webPr sourceData="1" parsePre="1" consecutive="1" xl2000="1" url="http://otter.topsy.com/searchcount.txt?q=%D8%A5%D8%AF%D9%84%D8%A8&amp;type=tweet"/>
  </connection>
  <connection id="60" name="Połączenie62" type="4" refreshedVersion="4" background="1" saveData="1">
    <webPr sourceData="1" parsePre="1" consecutive="1" xl2000="1" url="http://otter.topsy.com/searchcount.txt?q=%D8%A7%D9%84%D9%84%D8%A7%D8%B0%D9%82%D9%8A%D8%A9&amp;type=tweet"/>
  </connection>
  <connection id="61" name="Połączenie63" type="4" refreshedVersion="4" background="1" saveData="1">
    <webPr sourceData="1" parsePre="1" consecutive="1" xl2000="1" url="http://otter.topsy.com/searchcount.txt?q=damascus+-%D8%AF%D9%85%D8%B4%D9%82&amp;type=tweet"/>
  </connection>
  <connection id="62" name="Połączenie64" type="4" refreshedVersion="4" background="1" saveData="1">
    <webPr sourceData="1" parsePre="1" consecutive="1" xl2000="1" url="http://otter.topsy.com/searchcount.txt?q=aleppo+-%D8%AD%D9%84%D8%A8&amp;type=tweet"/>
  </connection>
  <connection id="63" name="Połączenie65" type="4" refreshedVersion="4" background="1" saveData="1">
    <webPr sourceData="1" parsePre="1" consecutive="1" xl2000="1" url="http://otter.topsy.com/searchcount.txt?q=hama+-%D8%AD%D9%85%D8%A7%D8%A9&amp;type=tweet"/>
  </connection>
  <connection id="64" name="Połączenie66" type="4" refreshedVersion="4" background="1" saveData="1">
    <webPr sourceData="1" parsePre="1" consecutive="1" xl2000="1" url="http://otter.topsy.com/searchcount.txt?q=homs+-%D8%AD%D9%85%D8%B5&amp;type=tweet"/>
  </connection>
  <connection id="65" name="Połączenie67" type="4" refreshedVersion="4" background="1" saveData="1">
    <webPr sourceData="1" parsePre="1" consecutive="1" xl2000="1" url="http://otter.topsy.com/searchcount.txt?q=deir+ezzor+-%D8%AF%D9%8A%D8%B1+-%D8%A7%D9%84%D8%B2%D9%88%D8%B1&amp;type=tweet"/>
  </connection>
  <connection id="66" name="Połączenie68" type="4" refreshedVersion="4" background="1" saveData="1">
    <webPr sourceData="1" parsePre="1" consecutive="1" xl2000="1" url="http://otter.topsy.com/searchcount.txt?q=Daraa+-%D8%AF%D8%B1%D8%B9%D8%A7&amp;type=tweet"/>
  </connection>
  <connection id="67" name="Połączenie69" type="4" refreshedVersion="4" background="1" saveData="1">
    <webPr sourceData="1" parsePre="1" consecutive="1" xl2000="1" url="http://otter.topsy.com/searchcount.txt?q=hasakah+-%D8%A7%D9%84%D8%AD%D8%B3%D9%83%D8%A9&amp;type=tweet"/>
  </connection>
  <connection id="68" name="Połączenie7" type="4" refreshedVersion="4" background="1" saveData="1">
    <webPr sourceData="1" parsePre="1" consecutive="1" xl2000="1" url="http://otter.topsy.com/searchcount.txt?q=idlib+-%D8%A5%D8%AF%D9%84%D8%A8&amp;type=tweet"/>
  </connection>
  <connection id="69" name="Połączenie70" type="4" refreshedVersion="4" background="1" saveData="1">
    <webPr sourceData="1" parsePre="1" consecutive="1" xl2000="1" url="http://otter.topsy.com/searchcount.txt?q=idlib+-%D8%A5%D8%AF%D9%84%D8%A8&amp;type=tweet"/>
  </connection>
  <connection id="70" name="Połączenie71" type="4" refreshedVersion="4" background="1" saveData="1">
    <webPr sourceData="1" parsePre="1" consecutive="1" xl2000="1" url="http://otter.topsy.com/searchcount.txt?q=latakia+-%D8%A7%D9%84%D9%84%D8%A7%D8%B0%D9%82%D9%8A%D8%A9&amp;type=tweet"/>
  </connection>
  <connection id="71" name="Połączenie72" type="4" refreshedVersion="4" background="1" saveData="1">
    <webPr sourceData="1" parsePre="1" consecutive="1" xl2000="1" url="http://otter.topsy.com/searchcount.txt?q=%D8%AF%D9%85%D8%B4%D9%82&amp;type=tweet"/>
  </connection>
  <connection id="72" name="Połączenie73" type="4" refreshedVersion="4" background="1" saveData="1">
    <webPr sourceData="1" parsePre="1" consecutive="1" xl2000="1" url="http://otter.topsy.com/searchcount.txt?q=%D8%AD%D9%84%D8%A8&amp;type=tweet"/>
  </connection>
  <connection id="73" name="Połączenie74" type="4" refreshedVersion="4" background="1" saveData="1">
    <webPr sourceData="1" parsePre="1" consecutive="1" xl2000="1" url="http://otter.topsy.com/searchcount.txt?q=%D8%AD%D9%85%D8%A7%D8%A9&amp;type=tweet"/>
  </connection>
  <connection id="74" name="Połączenie75" type="4" refreshedVersion="4" background="1" saveData="1">
    <webPr sourceData="1" parsePre="1" consecutive="1" xl2000="1" url="http://otter.topsy.com/searchcount.txt?q=%D8%AD%D9%85%D8%B5&amp;type=tweet"/>
  </connection>
  <connection id="75" name="Połączenie76" type="4" refreshedVersion="4" background="1" saveData="1">
    <webPr sourceData="1" parsePre="1" consecutive="1" xl2000="1" url="http://otter.topsy.com/searchcount.txt?q=%D8%AF%D9%8A%D8%B1+%D8%A7%D9%84%D8%B2%D9%88%D8%B1&amp;type=tweet"/>
  </connection>
  <connection id="76" name="Połączenie77" type="4" refreshedVersion="4" background="1" saveData="1">
    <webPr sourceData="1" parsePre="1" consecutive="1" xl2000="1" url="http://otter.topsy.com/searchcount.txt?q=%D8%AF%D8%B1%D8%B9%D8%A7&amp;type=tweet"/>
  </connection>
  <connection id="77" name="Połączenie78" type="4" refreshedVersion="4" background="1" saveData="1">
    <webPr sourceData="1" parsePre="1" consecutive="1" xl2000="1" url="http://otter.topsy.com/searchcount.txt?q=%D8%A7%D9%84%D8%AD%D8%B3%D9%83%D8%A9&amp;type=tweet"/>
  </connection>
  <connection id="78" name="Połączenie79" type="4" refreshedVersion="4" background="1" saveData="1">
    <webPr sourceData="1" parsePre="1" consecutive="1" xl2000="1" url="http://otter.topsy.com/searchcount.txt?q=%D8%A5%D8%AF%D9%84%D8%A8&amp;type=tweet"/>
  </connection>
  <connection id="79" name="Połączenie8" type="4" refreshedVersion="0" background="1" saveData="1">
    <webPr url="http://otter.topsy.com/searchcount.txt?q=latakia+-%D8%A7%D9%84%D9%84%D8%A7%D8%B0%D9%82%D9%8A%D8%A9&amp;type=tweet" htmlTables="1" htmlFormat="all"/>
  </connection>
  <connection id="80" name="Połączenie80" type="4" refreshedVersion="4" background="1" saveData="1">
    <webPr sourceData="1" parsePre="1" consecutive="1" xl2000="1" url="http://otter.topsy.com/searchcount.txt?q=%D8%A7%D9%84%D9%84%D8%A7%D8%B0%D9%82%D9%8A%D8%A9&amp;type=tweet"/>
  </connection>
  <connection id="81" name="Połączenie9" type="4" refreshedVersion="0" background="1" saveData="1">
    <webPr url="http://otter.topsy.com/searchcount.txt?q=%D8%AF%D9%85%D8%B4%D9%82&amp;type=tweet" htmlTables="1" htmlFormat="all"/>
  </connection>
</connections>
</file>

<file path=xl/sharedStrings.xml><?xml version="1.0" encoding="utf-8"?>
<sst xmlns="http://schemas.openxmlformats.org/spreadsheetml/2006/main" count="55" uniqueCount="35">
  <si>
    <t>Aleppo</t>
  </si>
  <si>
    <t>Hama</t>
  </si>
  <si>
    <t>Homs</t>
  </si>
  <si>
    <t>Hasaka</t>
  </si>
  <si>
    <t>SUMA</t>
  </si>
  <si>
    <t>ARABSKI</t>
  </si>
  <si>
    <t>ANG-ARAB</t>
  </si>
  <si>
    <t>SUMA DNIA</t>
  </si>
  <si>
    <t>Damaszek</t>
  </si>
  <si>
    <t>Dajr az-Zawr</t>
  </si>
  <si>
    <t>Dara</t>
  </si>
  <si>
    <t>Idlib</t>
  </si>
  <si>
    <t>Latakia</t>
  </si>
  <si>
    <t xml:space="preserve"> </t>
  </si>
  <si>
    <t>%D8%AF%D9%85%D8%B4%D9%82</t>
  </si>
  <si>
    <t>%D8%AD%D9%84%D8%A8</t>
  </si>
  <si>
    <t>%D8%AD%D9%85%D8%A7%D8%A9</t>
  </si>
  <si>
    <t>%D8%AD%D9%85%D8%B5</t>
  </si>
  <si>
    <t>%D8%AF%D9%8A%D8%B1+%D8%A7%D9%84%D8%B2%D9%88%D8%B1</t>
  </si>
  <si>
    <t>%D8%AF%D8%B1%D8%B9%D8%A7</t>
  </si>
  <si>
    <t>%D8%A7%D9%84%D8%AD%D8%B3%D9%83%D8%A9</t>
  </si>
  <si>
    <t>%D8%A5%D8%AF%D9%84%D8%A8</t>
  </si>
  <si>
    <t>%D8%A7%D9%84%D9%84%D8%A7%D8%B0%D9%82%D9%8A%D8%A9</t>
  </si>
  <si>
    <t>homs+-%D8%AD%D9%85%D8%B5</t>
  </si>
  <si>
    <t>aleppo+-%D8%AD%D9%84%D8%A8</t>
  </si>
  <si>
    <t>damascus+-%D8%AF%D9%85%D8%B4%D9%82</t>
  </si>
  <si>
    <t>hama+-%D8%AD%D9%85%D8%A7%D8%A9</t>
  </si>
  <si>
    <t>deir+ezzor+-%D8%AF%D9%8A%D8%B1+-%D8%A7%D9%84%D8%B2%D9%88%D8%B1</t>
  </si>
  <si>
    <t>Daraa+-%D8%AF%D8%B1%D8%B9%D8%A7</t>
  </si>
  <si>
    <t>hasakah+-%D8%A7%D9%84%D8%AD%D8%B3%D9%83%D8%A9</t>
  </si>
  <si>
    <t>idlib+-%D8%A5%D8%AF%D9%84%D8%A8</t>
  </si>
  <si>
    <t>latakia+-%D8%A7%D9%84%D9%84%D8%A7%D8%B0%D9%82%D9%8A%D8%A9</t>
  </si>
  <si>
    <t>SUMA Z OST. 7 DNI</t>
  </si>
  <si>
    <t>Data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</si>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</sst>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#,##0_ ;\-#,##0\ "/>
    <numFmt numFmtId="166" formatCode="[$-F800]dddd\,\ mmmm\ dd\,\ yyyy"/>
    <numFmt numFmtId="167" formatCode="d/m/yyyy;@"/>
  </numFmts>
  <fonts count="11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9"/>
      <name val="Verdana"/>
      <family val="2"/>
      <charset val="238"/>
    </font>
    <font>
      <b/>
      <sz val="9"/>
      <name val="Verdana"/>
      <family val="2"/>
      <charset val="238"/>
    </font>
    <font>
      <sz val="9"/>
      <color theme="1"/>
      <name val="Verdana"/>
      <family val="2"/>
      <charset val="238"/>
    </font>
    <font>
      <b/>
      <sz val="9"/>
      <color theme="5" tint="0.79998168889431442"/>
      <name val="Verdana"/>
      <family val="2"/>
      <charset val="238"/>
    </font>
    <font>
      <b/>
      <sz val="9"/>
      <color theme="1"/>
      <name val="Verdana"/>
      <family val="2"/>
      <charset val="238"/>
    </font>
    <font>
      <b/>
      <sz val="9"/>
      <name val="Verdana"/>
    </font>
    <font>
      <sz val="9"/>
      <name val="Verdana"/>
    </font>
    <font>
      <sz val="9"/>
      <color theme="1"/>
      <name val="Verdana"/>
    </font>
    <font>
      <b/>
      <sz val="9"/>
      <color theme="1"/>
      <name val="Verdana"/>
    </font>
  </fonts>
  <fills count="3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165" fontId="2" fillId="0" borderId="0" xfId="1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1" fontId="2" fillId="0" borderId="0" xfId="1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" fontId="4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6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67" fontId="7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" fontId="9" fillId="0" borderId="0" xfId="0" applyNumberFormat="1" applyFont="1" applyFill="1" applyAlignment="1">
      <alignment horizontal="center" vertical="center"/>
    </xf>
    <xf numFmtId="1" fontId="10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/>
    </xf>
    <xf numFmtId="1" fontId="6" fillId="0" borderId="1" xfId="0" applyNumberFormat="1" applyFont="1" applyFill="1" applyBorder="1" applyAlignment="1">
      <alignment horizontal="center" vertical="center"/>
    </xf>
    <xf numFmtId="1" fontId="10" fillId="0" borderId="1" xfId="0" applyNumberFormat="1" applyFont="1" applyFill="1" applyBorder="1" applyAlignment="1">
      <alignment horizontal="center" vertical="center"/>
    </xf>
    <xf numFmtId="167" fontId="7" fillId="0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</cellXfs>
  <cellStyles count="2">
    <cellStyle name="Dziesiętny" xfId="1" builtinId="3"/>
    <cellStyle name="Normalny" xfId="0" builtinId="0"/>
  </cellStyles>
  <dxfs count="50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numFmt numFmtId="167" formatCode="d/m/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numFmt numFmtId="167" formatCode="d/m/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numFmt numFmtId="167" formatCode="d/m/yyyy;@"/>
      <fill>
        <patternFill patternType="none">
          <fgColor theme="5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numFmt numFmtId="167" formatCode="d/m/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Verdana"/>
        <scheme val="none"/>
      </font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Verdana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DF5B5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openxmlformats.org/officeDocument/2006/relationships/customXml" Target="../customXml/item18.xml"/><Relationship Id="rId21" Type="http://schemas.openxmlformats.org/officeDocument/2006/relationships/customXml" Target="../customXml/item13.xml"/><Relationship Id="rId34" Type="http://schemas.openxmlformats.org/officeDocument/2006/relationships/customXml" Target="../customXml/item26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33" Type="http://schemas.openxmlformats.org/officeDocument/2006/relationships/customXml" Target="../customXml/item25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29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32" Type="http://schemas.openxmlformats.org/officeDocument/2006/relationships/customXml" Target="../customXml/item24.xml"/><Relationship Id="rId37" Type="http://schemas.openxmlformats.org/officeDocument/2006/relationships/customXml" Target="../customXml/item29.xml"/><Relationship Id="rId5" Type="http://schemas.openxmlformats.org/officeDocument/2006/relationships/connections" Target="connection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28" Type="http://schemas.openxmlformats.org/officeDocument/2006/relationships/customXml" Target="../customXml/item20.xml"/><Relationship Id="rId36" Type="http://schemas.openxmlformats.org/officeDocument/2006/relationships/customXml" Target="../customXml/item28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31" Type="http://schemas.openxmlformats.org/officeDocument/2006/relationships/customXml" Target="../customXml/item23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Relationship Id="rId27" Type="http://schemas.openxmlformats.org/officeDocument/2006/relationships/customXml" Target="../customXml/item19.xml"/><Relationship Id="rId30" Type="http://schemas.openxmlformats.org/officeDocument/2006/relationships/customXml" Target="../customXml/item22.xml"/><Relationship Id="rId35" Type="http://schemas.openxmlformats.org/officeDocument/2006/relationships/customXml" Target="../customXml/item27.xml"/><Relationship Id="rId8" Type="http://schemas.openxmlformats.org/officeDocument/2006/relationships/calcChain" Target="calcChain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665044724487868E-2"/>
          <c:y val="3.2214199290365231E-2"/>
          <c:w val="0.78760516767997379"/>
          <c:h val="0.77303839854152923"/>
        </c:manualLayout>
      </c:layout>
      <c:lineChart>
        <c:grouping val="standard"/>
        <c:varyColors val="0"/>
        <c:ser>
          <c:idx val="2"/>
          <c:order val="0"/>
          <c:tx>
            <c:strRef>
              <c:f>Dane!$Z$3</c:f>
              <c:strCache>
                <c:ptCount val="1"/>
                <c:pt idx="0">
                  <c:v>Damaszek</c:v>
                </c:pt>
              </c:strCache>
            </c:strRef>
          </c:tx>
          <c:spPr>
            <a:ln w="19050">
              <a:solidFill>
                <a:srgbClr val="C0000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Dane!$Z$4:$Z$87</c:f>
              <c:numCache>
                <c:formatCode>0</c:formatCode>
                <c:ptCount val="84"/>
                <c:pt idx="0">
                  <c:v>11884</c:v>
                </c:pt>
                <c:pt idx="1">
                  <c:v>10716</c:v>
                </c:pt>
                <c:pt idx="2">
                  <c:v>11550</c:v>
                </c:pt>
                <c:pt idx="3">
                  <c:v>18053</c:v>
                </c:pt>
                <c:pt idx="4">
                  <c:v>17638</c:v>
                </c:pt>
                <c:pt idx="5">
                  <c:v>11208</c:v>
                </c:pt>
                <c:pt idx="6">
                  <c:v>10488</c:v>
                </c:pt>
                <c:pt idx="7">
                  <c:v>12479</c:v>
                </c:pt>
                <c:pt idx="8">
                  <c:v>12133</c:v>
                </c:pt>
                <c:pt idx="9">
                  <c:v>11194</c:v>
                </c:pt>
                <c:pt idx="10">
                  <c:v>22666</c:v>
                </c:pt>
                <c:pt idx="11">
                  <c:v>18404</c:v>
                </c:pt>
                <c:pt idx="12">
                  <c:v>11832</c:v>
                </c:pt>
                <c:pt idx="13">
                  <c:v>12543</c:v>
                </c:pt>
                <c:pt idx="14">
                  <c:v>16165</c:v>
                </c:pt>
                <c:pt idx="15">
                  <c:v>12100</c:v>
                </c:pt>
                <c:pt idx="16">
                  <c:v>16702</c:v>
                </c:pt>
                <c:pt idx="17">
                  <c:v>20765</c:v>
                </c:pt>
                <c:pt idx="18">
                  <c:v>23541</c:v>
                </c:pt>
                <c:pt idx="19">
                  <c:v>14349</c:v>
                </c:pt>
                <c:pt idx="20">
                  <c:v>15313</c:v>
                </c:pt>
                <c:pt idx="21">
                  <c:v>11637</c:v>
                </c:pt>
                <c:pt idx="22">
                  <c:v>9778</c:v>
                </c:pt>
                <c:pt idx="23">
                  <c:v>12298</c:v>
                </c:pt>
                <c:pt idx="24">
                  <c:v>6490</c:v>
                </c:pt>
                <c:pt idx="25">
                  <c:v>5915</c:v>
                </c:pt>
                <c:pt idx="26">
                  <c:v>10725</c:v>
                </c:pt>
                <c:pt idx="27">
                  <c:v>17619</c:v>
                </c:pt>
                <c:pt idx="28">
                  <c:v>15618</c:v>
                </c:pt>
                <c:pt idx="29">
                  <c:v>16592</c:v>
                </c:pt>
                <c:pt idx="30">
                  <c:v>19576</c:v>
                </c:pt>
                <c:pt idx="31">
                  <c:v>34194</c:v>
                </c:pt>
                <c:pt idx="32">
                  <c:v>23190</c:v>
                </c:pt>
                <c:pt idx="33">
                  <c:v>16645</c:v>
                </c:pt>
                <c:pt idx="34">
                  <c:v>15097</c:v>
                </c:pt>
                <c:pt idx="35">
                  <c:v>12279</c:v>
                </c:pt>
                <c:pt idx="36">
                  <c:v>12157</c:v>
                </c:pt>
                <c:pt idx="37">
                  <c:v>14913</c:v>
                </c:pt>
                <c:pt idx="38">
                  <c:v>17446</c:v>
                </c:pt>
                <c:pt idx="39">
                  <c:v>24253</c:v>
                </c:pt>
                <c:pt idx="40">
                  <c:v>16199</c:v>
                </c:pt>
                <c:pt idx="41">
                  <c:v>9245</c:v>
                </c:pt>
                <c:pt idx="42">
                  <c:v>11543</c:v>
                </c:pt>
                <c:pt idx="43">
                  <c:v>13392</c:v>
                </c:pt>
                <c:pt idx="44">
                  <c:v>17364</c:v>
                </c:pt>
                <c:pt idx="45">
                  <c:v>19954</c:v>
                </c:pt>
                <c:pt idx="46">
                  <c:v>124083</c:v>
                </c:pt>
                <c:pt idx="47">
                  <c:v>78000</c:v>
                </c:pt>
                <c:pt idx="48">
                  <c:v>74000</c:v>
                </c:pt>
                <c:pt idx="49">
                  <c:v>165000</c:v>
                </c:pt>
                <c:pt idx="50">
                  <c:v>205000</c:v>
                </c:pt>
                <c:pt idx="51">
                  <c:v>85649</c:v>
                </c:pt>
                <c:pt idx="52">
                  <c:v>103416</c:v>
                </c:pt>
                <c:pt idx="53">
                  <c:v>87782</c:v>
                </c:pt>
                <c:pt idx="54">
                  <c:v>66175</c:v>
                </c:pt>
                <c:pt idx="55">
                  <c:v>42405</c:v>
                </c:pt>
                <c:pt idx="56">
                  <c:v>38039</c:v>
                </c:pt>
                <c:pt idx="57">
                  <c:v>35216</c:v>
                </c:pt>
                <c:pt idx="58">
                  <c:v>29764</c:v>
                </c:pt>
                <c:pt idx="59">
                  <c:v>36960</c:v>
                </c:pt>
                <c:pt idx="60">
                  <c:v>39727</c:v>
                </c:pt>
                <c:pt idx="61">
                  <c:v>28251</c:v>
                </c:pt>
                <c:pt idx="62">
                  <c:v>30093</c:v>
                </c:pt>
                <c:pt idx="63">
                  <c:v>30744</c:v>
                </c:pt>
                <c:pt idx="64">
                  <c:v>37583</c:v>
                </c:pt>
                <c:pt idx="65">
                  <c:v>36942</c:v>
                </c:pt>
                <c:pt idx="66">
                  <c:v>80960</c:v>
                </c:pt>
                <c:pt idx="67">
                  <c:v>58333</c:v>
                </c:pt>
                <c:pt idx="68">
                  <c:v>41885</c:v>
                </c:pt>
                <c:pt idx="69">
                  <c:v>38125</c:v>
                </c:pt>
                <c:pt idx="70">
                  <c:v>33471</c:v>
                </c:pt>
                <c:pt idx="71">
                  <c:v>24743</c:v>
                </c:pt>
                <c:pt idx="72">
                  <c:v>25514</c:v>
                </c:pt>
                <c:pt idx="73">
                  <c:v>45257</c:v>
                </c:pt>
                <c:pt idx="74">
                  <c:v>43867</c:v>
                </c:pt>
                <c:pt idx="75">
                  <c:v>33762</c:v>
                </c:pt>
                <c:pt idx="76">
                  <c:v>38153</c:v>
                </c:pt>
                <c:pt idx="77">
                  <c:v>54476</c:v>
                </c:pt>
                <c:pt idx="78">
                  <c:v>40581</c:v>
                </c:pt>
                <c:pt idx="79">
                  <c:v>44566</c:v>
                </c:pt>
                <c:pt idx="80">
                  <c:v>47290</c:v>
                </c:pt>
                <c:pt idx="81">
                  <c:v>40923</c:v>
                </c:pt>
                <c:pt idx="82">
                  <c:v>41090</c:v>
                </c:pt>
                <c:pt idx="83">
                  <c:v>51170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Dane!$AA$3</c:f>
              <c:strCache>
                <c:ptCount val="1"/>
                <c:pt idx="0">
                  <c:v>Aleppo</c:v>
                </c:pt>
              </c:strCache>
            </c:strRef>
          </c:tx>
          <c:spPr>
            <a:ln w="19050"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Dane!$AA$4:$AA$87</c:f>
              <c:numCache>
                <c:formatCode>0</c:formatCode>
                <c:ptCount val="84"/>
                <c:pt idx="0">
                  <c:v>788</c:v>
                </c:pt>
                <c:pt idx="1">
                  <c:v>7553</c:v>
                </c:pt>
                <c:pt idx="2">
                  <c:v>9087</c:v>
                </c:pt>
                <c:pt idx="3">
                  <c:v>16243</c:v>
                </c:pt>
                <c:pt idx="4">
                  <c:v>9018</c:v>
                </c:pt>
                <c:pt idx="5">
                  <c:v>5779</c:v>
                </c:pt>
                <c:pt idx="6">
                  <c:v>5614</c:v>
                </c:pt>
                <c:pt idx="7">
                  <c:v>8779</c:v>
                </c:pt>
                <c:pt idx="8">
                  <c:v>6920</c:v>
                </c:pt>
                <c:pt idx="9">
                  <c:v>5697</c:v>
                </c:pt>
                <c:pt idx="10">
                  <c:v>7123</c:v>
                </c:pt>
                <c:pt idx="11">
                  <c:v>11831</c:v>
                </c:pt>
                <c:pt idx="12">
                  <c:v>7493</c:v>
                </c:pt>
                <c:pt idx="13">
                  <c:v>6788</c:v>
                </c:pt>
                <c:pt idx="14">
                  <c:v>9817</c:v>
                </c:pt>
                <c:pt idx="15">
                  <c:v>5859</c:v>
                </c:pt>
                <c:pt idx="16">
                  <c:v>7219</c:v>
                </c:pt>
                <c:pt idx="17">
                  <c:v>12594</c:v>
                </c:pt>
                <c:pt idx="18">
                  <c:v>10397</c:v>
                </c:pt>
                <c:pt idx="19">
                  <c:v>6538</c:v>
                </c:pt>
                <c:pt idx="20">
                  <c:v>9525</c:v>
                </c:pt>
                <c:pt idx="21">
                  <c:v>6700</c:v>
                </c:pt>
                <c:pt idx="22">
                  <c:v>6718</c:v>
                </c:pt>
                <c:pt idx="23">
                  <c:v>7302</c:v>
                </c:pt>
                <c:pt idx="24">
                  <c:v>6794</c:v>
                </c:pt>
                <c:pt idx="25">
                  <c:v>4917</c:v>
                </c:pt>
                <c:pt idx="26">
                  <c:v>8816</c:v>
                </c:pt>
                <c:pt idx="27">
                  <c:v>7240</c:v>
                </c:pt>
                <c:pt idx="28">
                  <c:v>7001</c:v>
                </c:pt>
                <c:pt idx="29">
                  <c:v>5387</c:v>
                </c:pt>
                <c:pt idx="30">
                  <c:v>6140</c:v>
                </c:pt>
                <c:pt idx="31">
                  <c:v>7768</c:v>
                </c:pt>
                <c:pt idx="32">
                  <c:v>12968</c:v>
                </c:pt>
                <c:pt idx="33">
                  <c:v>8006</c:v>
                </c:pt>
                <c:pt idx="34">
                  <c:v>7735</c:v>
                </c:pt>
                <c:pt idx="35">
                  <c:v>4923</c:v>
                </c:pt>
                <c:pt idx="36">
                  <c:v>6674</c:v>
                </c:pt>
                <c:pt idx="37">
                  <c:v>7296</c:v>
                </c:pt>
                <c:pt idx="38">
                  <c:v>11173</c:v>
                </c:pt>
                <c:pt idx="39">
                  <c:v>7242</c:v>
                </c:pt>
                <c:pt idx="40">
                  <c:v>3569</c:v>
                </c:pt>
                <c:pt idx="41">
                  <c:v>6637</c:v>
                </c:pt>
                <c:pt idx="42">
                  <c:v>8320</c:v>
                </c:pt>
                <c:pt idx="43">
                  <c:v>5849</c:v>
                </c:pt>
                <c:pt idx="44">
                  <c:v>7906</c:v>
                </c:pt>
                <c:pt idx="45">
                  <c:v>7306</c:v>
                </c:pt>
                <c:pt idx="46">
                  <c:v>10687</c:v>
                </c:pt>
                <c:pt idx="47">
                  <c:v>8195</c:v>
                </c:pt>
                <c:pt idx="48">
                  <c:v>7770</c:v>
                </c:pt>
                <c:pt idx="49">
                  <c:v>8159</c:v>
                </c:pt>
                <c:pt idx="50">
                  <c:v>15067</c:v>
                </c:pt>
                <c:pt idx="51">
                  <c:v>16504</c:v>
                </c:pt>
                <c:pt idx="52">
                  <c:v>52842</c:v>
                </c:pt>
                <c:pt idx="53">
                  <c:v>49158</c:v>
                </c:pt>
                <c:pt idx="54">
                  <c:v>32357</c:v>
                </c:pt>
                <c:pt idx="55">
                  <c:v>31004</c:v>
                </c:pt>
                <c:pt idx="56">
                  <c:v>40554</c:v>
                </c:pt>
                <c:pt idx="57">
                  <c:v>36488</c:v>
                </c:pt>
                <c:pt idx="58">
                  <c:v>43619</c:v>
                </c:pt>
                <c:pt idx="59">
                  <c:v>99960</c:v>
                </c:pt>
                <c:pt idx="60">
                  <c:v>103763</c:v>
                </c:pt>
                <c:pt idx="61">
                  <c:v>69874</c:v>
                </c:pt>
                <c:pt idx="62">
                  <c:v>71425</c:v>
                </c:pt>
                <c:pt idx="63">
                  <c:v>69862</c:v>
                </c:pt>
                <c:pt idx="64">
                  <c:v>49901</c:v>
                </c:pt>
                <c:pt idx="65">
                  <c:v>36741</c:v>
                </c:pt>
                <c:pt idx="66">
                  <c:v>86124</c:v>
                </c:pt>
                <c:pt idx="67">
                  <c:v>78952</c:v>
                </c:pt>
                <c:pt idx="68">
                  <c:v>59822</c:v>
                </c:pt>
                <c:pt idx="69">
                  <c:v>53279</c:v>
                </c:pt>
                <c:pt idx="70">
                  <c:v>61541</c:v>
                </c:pt>
                <c:pt idx="71">
                  <c:v>61144</c:v>
                </c:pt>
                <c:pt idx="72">
                  <c:v>51449</c:v>
                </c:pt>
                <c:pt idx="73">
                  <c:v>39485</c:v>
                </c:pt>
                <c:pt idx="74">
                  <c:v>31338</c:v>
                </c:pt>
                <c:pt idx="75">
                  <c:v>24895</c:v>
                </c:pt>
                <c:pt idx="76">
                  <c:v>27212</c:v>
                </c:pt>
                <c:pt idx="77">
                  <c:v>56703</c:v>
                </c:pt>
                <c:pt idx="78">
                  <c:v>44568</c:v>
                </c:pt>
                <c:pt idx="79">
                  <c:v>34736</c:v>
                </c:pt>
                <c:pt idx="80">
                  <c:v>26297</c:v>
                </c:pt>
                <c:pt idx="81">
                  <c:v>29216</c:v>
                </c:pt>
                <c:pt idx="82">
                  <c:v>22775</c:v>
                </c:pt>
                <c:pt idx="83">
                  <c:v>32516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Dane!$AB$3</c:f>
              <c:strCache>
                <c:ptCount val="1"/>
                <c:pt idx="0">
                  <c:v>Hama</c:v>
                </c:pt>
              </c:strCache>
            </c:strRef>
          </c:tx>
          <c:spPr>
            <a:ln w="19050"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Dane!$AB$4:$AB$87</c:f>
              <c:numCache>
                <c:formatCode>0</c:formatCode>
                <c:ptCount val="84"/>
                <c:pt idx="0">
                  <c:v>5477</c:v>
                </c:pt>
                <c:pt idx="1">
                  <c:v>3236</c:v>
                </c:pt>
                <c:pt idx="2">
                  <c:v>3116</c:v>
                </c:pt>
                <c:pt idx="3">
                  <c:v>6512</c:v>
                </c:pt>
                <c:pt idx="4">
                  <c:v>5973</c:v>
                </c:pt>
                <c:pt idx="5">
                  <c:v>4012</c:v>
                </c:pt>
                <c:pt idx="6">
                  <c:v>3882</c:v>
                </c:pt>
                <c:pt idx="7">
                  <c:v>3754</c:v>
                </c:pt>
                <c:pt idx="8">
                  <c:v>3609</c:v>
                </c:pt>
                <c:pt idx="9">
                  <c:v>12977</c:v>
                </c:pt>
                <c:pt idx="10">
                  <c:v>5491</c:v>
                </c:pt>
                <c:pt idx="11">
                  <c:v>5890</c:v>
                </c:pt>
                <c:pt idx="12">
                  <c:v>4235</c:v>
                </c:pt>
                <c:pt idx="13">
                  <c:v>4713</c:v>
                </c:pt>
                <c:pt idx="14">
                  <c:v>3111</c:v>
                </c:pt>
                <c:pt idx="15">
                  <c:v>4214</c:v>
                </c:pt>
                <c:pt idx="16">
                  <c:v>3382</c:v>
                </c:pt>
                <c:pt idx="17">
                  <c:v>7721</c:v>
                </c:pt>
                <c:pt idx="18">
                  <c:v>5128</c:v>
                </c:pt>
                <c:pt idx="19">
                  <c:v>3478</c:v>
                </c:pt>
                <c:pt idx="20">
                  <c:v>5098</c:v>
                </c:pt>
                <c:pt idx="21">
                  <c:v>7880</c:v>
                </c:pt>
                <c:pt idx="22">
                  <c:v>7297</c:v>
                </c:pt>
                <c:pt idx="23">
                  <c:v>5024</c:v>
                </c:pt>
                <c:pt idx="24">
                  <c:v>2966</c:v>
                </c:pt>
                <c:pt idx="25">
                  <c:v>2554</c:v>
                </c:pt>
                <c:pt idx="26">
                  <c:v>3460</c:v>
                </c:pt>
                <c:pt idx="27">
                  <c:v>4050</c:v>
                </c:pt>
                <c:pt idx="28">
                  <c:v>3467</c:v>
                </c:pt>
                <c:pt idx="29">
                  <c:v>3670</c:v>
                </c:pt>
                <c:pt idx="30">
                  <c:v>4605</c:v>
                </c:pt>
                <c:pt idx="31">
                  <c:v>5077</c:v>
                </c:pt>
                <c:pt idx="32">
                  <c:v>5300</c:v>
                </c:pt>
                <c:pt idx="33">
                  <c:v>3840</c:v>
                </c:pt>
                <c:pt idx="34">
                  <c:v>4398</c:v>
                </c:pt>
                <c:pt idx="35">
                  <c:v>3524</c:v>
                </c:pt>
                <c:pt idx="36">
                  <c:v>3259</c:v>
                </c:pt>
                <c:pt idx="37">
                  <c:v>4074</c:v>
                </c:pt>
                <c:pt idx="38">
                  <c:v>4154</c:v>
                </c:pt>
                <c:pt idx="39">
                  <c:v>5526</c:v>
                </c:pt>
                <c:pt idx="40">
                  <c:v>4091</c:v>
                </c:pt>
                <c:pt idx="41">
                  <c:v>4229</c:v>
                </c:pt>
                <c:pt idx="42">
                  <c:v>3802</c:v>
                </c:pt>
                <c:pt idx="43">
                  <c:v>3996</c:v>
                </c:pt>
                <c:pt idx="44">
                  <c:v>20958</c:v>
                </c:pt>
                <c:pt idx="45">
                  <c:v>7582</c:v>
                </c:pt>
                <c:pt idx="46">
                  <c:v>9648</c:v>
                </c:pt>
                <c:pt idx="47">
                  <c:v>7989</c:v>
                </c:pt>
                <c:pt idx="48">
                  <c:v>5380</c:v>
                </c:pt>
                <c:pt idx="49">
                  <c:v>4526</c:v>
                </c:pt>
                <c:pt idx="50">
                  <c:v>4686</c:v>
                </c:pt>
                <c:pt idx="51">
                  <c:v>5137</c:v>
                </c:pt>
                <c:pt idx="52">
                  <c:v>6607</c:v>
                </c:pt>
                <c:pt idx="53">
                  <c:v>5126</c:v>
                </c:pt>
                <c:pt idx="54">
                  <c:v>4058</c:v>
                </c:pt>
                <c:pt idx="55">
                  <c:v>5777</c:v>
                </c:pt>
                <c:pt idx="56">
                  <c:v>7225</c:v>
                </c:pt>
                <c:pt idx="57">
                  <c:v>4294</c:v>
                </c:pt>
                <c:pt idx="58">
                  <c:v>3571</c:v>
                </c:pt>
                <c:pt idx="59">
                  <c:v>5911</c:v>
                </c:pt>
                <c:pt idx="60">
                  <c:v>6758</c:v>
                </c:pt>
                <c:pt idx="61">
                  <c:v>5099</c:v>
                </c:pt>
                <c:pt idx="62">
                  <c:v>3991</c:v>
                </c:pt>
                <c:pt idx="63">
                  <c:v>4073</c:v>
                </c:pt>
                <c:pt idx="64">
                  <c:v>4156</c:v>
                </c:pt>
                <c:pt idx="65">
                  <c:v>8793</c:v>
                </c:pt>
                <c:pt idx="66">
                  <c:v>6529</c:v>
                </c:pt>
                <c:pt idx="67">
                  <c:v>8732</c:v>
                </c:pt>
                <c:pt idx="68">
                  <c:v>6411</c:v>
                </c:pt>
                <c:pt idx="69">
                  <c:v>3471</c:v>
                </c:pt>
                <c:pt idx="70">
                  <c:v>4495</c:v>
                </c:pt>
                <c:pt idx="71">
                  <c:v>3289</c:v>
                </c:pt>
                <c:pt idx="72">
                  <c:v>4382</c:v>
                </c:pt>
                <c:pt idx="73">
                  <c:v>4476</c:v>
                </c:pt>
                <c:pt idx="74">
                  <c:v>3087</c:v>
                </c:pt>
                <c:pt idx="75">
                  <c:v>2307</c:v>
                </c:pt>
                <c:pt idx="76">
                  <c:v>3750</c:v>
                </c:pt>
                <c:pt idx="77">
                  <c:v>3842</c:v>
                </c:pt>
                <c:pt idx="78">
                  <c:v>2830</c:v>
                </c:pt>
                <c:pt idx="79">
                  <c:v>3991</c:v>
                </c:pt>
                <c:pt idx="80">
                  <c:v>4488</c:v>
                </c:pt>
                <c:pt idx="81">
                  <c:v>3532</c:v>
                </c:pt>
                <c:pt idx="82">
                  <c:v>2594</c:v>
                </c:pt>
                <c:pt idx="83">
                  <c:v>2479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Dane!$AC$3</c:f>
              <c:strCache>
                <c:ptCount val="1"/>
                <c:pt idx="0">
                  <c:v>Homs</c:v>
                </c:pt>
              </c:strCache>
            </c:strRef>
          </c:tx>
          <c:spPr>
            <a:ln w="19050"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Dane!$AC$4:$AC$87</c:f>
              <c:numCache>
                <c:formatCode>0</c:formatCode>
                <c:ptCount val="84"/>
                <c:pt idx="0">
                  <c:v>10933</c:v>
                </c:pt>
                <c:pt idx="1">
                  <c:v>9784</c:v>
                </c:pt>
                <c:pt idx="2">
                  <c:v>8822</c:v>
                </c:pt>
                <c:pt idx="3">
                  <c:v>28546</c:v>
                </c:pt>
                <c:pt idx="4">
                  <c:v>23814</c:v>
                </c:pt>
                <c:pt idx="5">
                  <c:v>7055</c:v>
                </c:pt>
                <c:pt idx="6">
                  <c:v>7636</c:v>
                </c:pt>
                <c:pt idx="7">
                  <c:v>7091</c:v>
                </c:pt>
                <c:pt idx="8">
                  <c:v>6842</c:v>
                </c:pt>
                <c:pt idx="9">
                  <c:v>9216</c:v>
                </c:pt>
                <c:pt idx="10">
                  <c:v>51898</c:v>
                </c:pt>
                <c:pt idx="11">
                  <c:v>51910</c:v>
                </c:pt>
                <c:pt idx="12">
                  <c:v>12916</c:v>
                </c:pt>
                <c:pt idx="13">
                  <c:v>14724</c:v>
                </c:pt>
                <c:pt idx="14">
                  <c:v>10710</c:v>
                </c:pt>
                <c:pt idx="15">
                  <c:v>9283</c:v>
                </c:pt>
                <c:pt idx="16">
                  <c:v>9017</c:v>
                </c:pt>
                <c:pt idx="17">
                  <c:v>85077</c:v>
                </c:pt>
                <c:pt idx="18">
                  <c:v>68386</c:v>
                </c:pt>
                <c:pt idx="19">
                  <c:v>14383</c:v>
                </c:pt>
                <c:pt idx="20">
                  <c:v>11208</c:v>
                </c:pt>
                <c:pt idx="21">
                  <c:v>9965</c:v>
                </c:pt>
                <c:pt idx="22">
                  <c:v>11250</c:v>
                </c:pt>
                <c:pt idx="23">
                  <c:v>8852</c:v>
                </c:pt>
                <c:pt idx="24">
                  <c:v>7189</c:v>
                </c:pt>
                <c:pt idx="25">
                  <c:v>7042</c:v>
                </c:pt>
                <c:pt idx="26">
                  <c:v>8940</c:v>
                </c:pt>
                <c:pt idx="27">
                  <c:v>9098</c:v>
                </c:pt>
                <c:pt idx="28">
                  <c:v>8236</c:v>
                </c:pt>
                <c:pt idx="29">
                  <c:v>6829</c:v>
                </c:pt>
                <c:pt idx="30">
                  <c:v>8842</c:v>
                </c:pt>
                <c:pt idx="31">
                  <c:v>20977</c:v>
                </c:pt>
                <c:pt idx="32">
                  <c:v>26840</c:v>
                </c:pt>
                <c:pt idx="33">
                  <c:v>8893</c:v>
                </c:pt>
                <c:pt idx="34">
                  <c:v>8793</c:v>
                </c:pt>
                <c:pt idx="35">
                  <c:v>7671</c:v>
                </c:pt>
                <c:pt idx="36">
                  <c:v>7686</c:v>
                </c:pt>
                <c:pt idx="37">
                  <c:v>8718</c:v>
                </c:pt>
                <c:pt idx="38">
                  <c:v>17828</c:v>
                </c:pt>
                <c:pt idx="39">
                  <c:v>23816</c:v>
                </c:pt>
                <c:pt idx="40">
                  <c:v>8001</c:v>
                </c:pt>
                <c:pt idx="41">
                  <c:v>7481</c:v>
                </c:pt>
                <c:pt idx="42">
                  <c:v>7240</c:v>
                </c:pt>
                <c:pt idx="43">
                  <c:v>8127</c:v>
                </c:pt>
                <c:pt idx="44">
                  <c:v>8121</c:v>
                </c:pt>
                <c:pt idx="45">
                  <c:v>28417</c:v>
                </c:pt>
                <c:pt idx="46">
                  <c:v>22703</c:v>
                </c:pt>
                <c:pt idx="47">
                  <c:v>9122</c:v>
                </c:pt>
                <c:pt idx="48">
                  <c:v>9388</c:v>
                </c:pt>
                <c:pt idx="49">
                  <c:v>9891</c:v>
                </c:pt>
                <c:pt idx="50">
                  <c:v>6488</c:v>
                </c:pt>
                <c:pt idx="51">
                  <c:v>25985</c:v>
                </c:pt>
                <c:pt idx="52">
                  <c:v>27394</c:v>
                </c:pt>
                <c:pt idx="53">
                  <c:v>24467</c:v>
                </c:pt>
                <c:pt idx="54">
                  <c:v>19942</c:v>
                </c:pt>
                <c:pt idx="55">
                  <c:v>22614</c:v>
                </c:pt>
                <c:pt idx="56">
                  <c:v>25198</c:v>
                </c:pt>
                <c:pt idx="57">
                  <c:v>21060</c:v>
                </c:pt>
                <c:pt idx="58">
                  <c:v>13485</c:v>
                </c:pt>
                <c:pt idx="59">
                  <c:v>30291</c:v>
                </c:pt>
                <c:pt idx="60">
                  <c:v>25865</c:v>
                </c:pt>
                <c:pt idx="61">
                  <c:v>19757</c:v>
                </c:pt>
                <c:pt idx="62">
                  <c:v>19933</c:v>
                </c:pt>
                <c:pt idx="63">
                  <c:v>25246</c:v>
                </c:pt>
                <c:pt idx="64">
                  <c:v>20857</c:v>
                </c:pt>
                <c:pt idx="65">
                  <c:v>16629</c:v>
                </c:pt>
                <c:pt idx="66">
                  <c:v>22222</c:v>
                </c:pt>
                <c:pt idx="67">
                  <c:v>33278</c:v>
                </c:pt>
                <c:pt idx="68">
                  <c:v>60948</c:v>
                </c:pt>
                <c:pt idx="69">
                  <c:v>22052</c:v>
                </c:pt>
                <c:pt idx="70">
                  <c:v>25335</c:v>
                </c:pt>
                <c:pt idx="71">
                  <c:v>15104</c:v>
                </c:pt>
                <c:pt idx="72">
                  <c:v>22493</c:v>
                </c:pt>
                <c:pt idx="73">
                  <c:v>62399</c:v>
                </c:pt>
                <c:pt idx="74">
                  <c:v>47473</c:v>
                </c:pt>
                <c:pt idx="75">
                  <c:v>42730</c:v>
                </c:pt>
                <c:pt idx="76">
                  <c:v>36462</c:v>
                </c:pt>
                <c:pt idx="77">
                  <c:v>28416</c:v>
                </c:pt>
                <c:pt idx="78">
                  <c:v>26849</c:v>
                </c:pt>
                <c:pt idx="79">
                  <c:v>21033</c:v>
                </c:pt>
                <c:pt idx="80">
                  <c:v>25356</c:v>
                </c:pt>
                <c:pt idx="81">
                  <c:v>21425</c:v>
                </c:pt>
                <c:pt idx="82">
                  <c:v>18490</c:v>
                </c:pt>
                <c:pt idx="83">
                  <c:v>15597</c:v>
                </c:pt>
              </c:numCache>
            </c:numRef>
          </c:val>
          <c:smooth val="0"/>
        </c:ser>
        <c:ser>
          <c:idx val="6"/>
          <c:order val="4"/>
          <c:tx>
            <c:strRef>
              <c:f>Dane!$AD$3</c:f>
              <c:strCache>
                <c:ptCount val="1"/>
                <c:pt idx="0">
                  <c:v>Dajr az-Zawr</c:v>
                </c:pt>
              </c:strCache>
            </c:strRef>
          </c:tx>
          <c:spPr>
            <a:ln w="19050">
              <a:solidFill>
                <a:srgbClr val="7030A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Dane!$AD$4:$AD$87</c:f>
              <c:numCache>
                <c:formatCode>0</c:formatCode>
                <c:ptCount val="84"/>
                <c:pt idx="0">
                  <c:v>687</c:v>
                </c:pt>
                <c:pt idx="1">
                  <c:v>773</c:v>
                </c:pt>
                <c:pt idx="2">
                  <c:v>519</c:v>
                </c:pt>
                <c:pt idx="3">
                  <c:v>1106</c:v>
                </c:pt>
                <c:pt idx="4">
                  <c:v>1768</c:v>
                </c:pt>
                <c:pt idx="5">
                  <c:v>1132</c:v>
                </c:pt>
                <c:pt idx="6">
                  <c:v>502</c:v>
                </c:pt>
                <c:pt idx="7">
                  <c:v>568</c:v>
                </c:pt>
                <c:pt idx="8">
                  <c:v>642</c:v>
                </c:pt>
                <c:pt idx="9">
                  <c:v>430</c:v>
                </c:pt>
                <c:pt idx="10">
                  <c:v>995</c:v>
                </c:pt>
                <c:pt idx="11">
                  <c:v>956</c:v>
                </c:pt>
                <c:pt idx="12">
                  <c:v>598</c:v>
                </c:pt>
                <c:pt idx="13">
                  <c:v>921</c:v>
                </c:pt>
                <c:pt idx="14">
                  <c:v>1033</c:v>
                </c:pt>
                <c:pt idx="15">
                  <c:v>670</c:v>
                </c:pt>
                <c:pt idx="16">
                  <c:v>468</c:v>
                </c:pt>
                <c:pt idx="17">
                  <c:v>1162</c:v>
                </c:pt>
                <c:pt idx="18">
                  <c:v>2162</c:v>
                </c:pt>
                <c:pt idx="19">
                  <c:v>1587</c:v>
                </c:pt>
                <c:pt idx="20">
                  <c:v>655</c:v>
                </c:pt>
                <c:pt idx="21">
                  <c:v>635</c:v>
                </c:pt>
                <c:pt idx="22">
                  <c:v>748</c:v>
                </c:pt>
                <c:pt idx="23">
                  <c:v>504</c:v>
                </c:pt>
                <c:pt idx="24">
                  <c:v>2436</c:v>
                </c:pt>
                <c:pt idx="25">
                  <c:v>3482</c:v>
                </c:pt>
                <c:pt idx="26">
                  <c:v>4829</c:v>
                </c:pt>
                <c:pt idx="27">
                  <c:v>3759</c:v>
                </c:pt>
                <c:pt idx="28">
                  <c:v>3447</c:v>
                </c:pt>
                <c:pt idx="29">
                  <c:v>2498</c:v>
                </c:pt>
                <c:pt idx="30">
                  <c:v>3028</c:v>
                </c:pt>
                <c:pt idx="31">
                  <c:v>1458</c:v>
                </c:pt>
                <c:pt idx="32">
                  <c:v>1036</c:v>
                </c:pt>
                <c:pt idx="33">
                  <c:v>695</c:v>
                </c:pt>
                <c:pt idx="34">
                  <c:v>535</c:v>
                </c:pt>
                <c:pt idx="35">
                  <c:v>734</c:v>
                </c:pt>
                <c:pt idx="36">
                  <c:v>643</c:v>
                </c:pt>
                <c:pt idx="37">
                  <c:v>686</c:v>
                </c:pt>
                <c:pt idx="38">
                  <c:v>1193</c:v>
                </c:pt>
                <c:pt idx="39">
                  <c:v>1452</c:v>
                </c:pt>
                <c:pt idx="40">
                  <c:v>1056</c:v>
                </c:pt>
                <c:pt idx="41">
                  <c:v>752</c:v>
                </c:pt>
                <c:pt idx="42">
                  <c:v>800</c:v>
                </c:pt>
                <c:pt idx="43">
                  <c:v>404</c:v>
                </c:pt>
                <c:pt idx="44">
                  <c:v>585</c:v>
                </c:pt>
                <c:pt idx="45">
                  <c:v>847</c:v>
                </c:pt>
                <c:pt idx="46">
                  <c:v>1022</c:v>
                </c:pt>
                <c:pt idx="47">
                  <c:v>702</c:v>
                </c:pt>
                <c:pt idx="48">
                  <c:v>565</c:v>
                </c:pt>
                <c:pt idx="49">
                  <c:v>664</c:v>
                </c:pt>
                <c:pt idx="50">
                  <c:v>759</c:v>
                </c:pt>
                <c:pt idx="51">
                  <c:v>2486</c:v>
                </c:pt>
                <c:pt idx="52">
                  <c:v>2151</c:v>
                </c:pt>
                <c:pt idx="53">
                  <c:v>799</c:v>
                </c:pt>
                <c:pt idx="54">
                  <c:v>1721</c:v>
                </c:pt>
                <c:pt idx="55">
                  <c:v>1539</c:v>
                </c:pt>
                <c:pt idx="56">
                  <c:v>1753</c:v>
                </c:pt>
                <c:pt idx="57">
                  <c:v>2082</c:v>
                </c:pt>
                <c:pt idx="58">
                  <c:v>2082</c:v>
                </c:pt>
                <c:pt idx="59">
                  <c:v>1103</c:v>
                </c:pt>
                <c:pt idx="60">
                  <c:v>1533</c:v>
                </c:pt>
                <c:pt idx="61">
                  <c:v>4025</c:v>
                </c:pt>
                <c:pt idx="62">
                  <c:v>4237</c:v>
                </c:pt>
                <c:pt idx="63">
                  <c:v>3833</c:v>
                </c:pt>
                <c:pt idx="64">
                  <c:v>2654</c:v>
                </c:pt>
                <c:pt idx="65">
                  <c:v>3936</c:v>
                </c:pt>
                <c:pt idx="66">
                  <c:v>961</c:v>
                </c:pt>
                <c:pt idx="67">
                  <c:v>1515</c:v>
                </c:pt>
                <c:pt idx="68">
                  <c:v>2960</c:v>
                </c:pt>
                <c:pt idx="69">
                  <c:v>3055</c:v>
                </c:pt>
                <c:pt idx="70">
                  <c:v>2630</c:v>
                </c:pt>
                <c:pt idx="71">
                  <c:v>1818</c:v>
                </c:pt>
                <c:pt idx="72">
                  <c:v>1642</c:v>
                </c:pt>
                <c:pt idx="73">
                  <c:v>665</c:v>
                </c:pt>
                <c:pt idx="74">
                  <c:v>1559</c:v>
                </c:pt>
                <c:pt idx="75">
                  <c:v>2587</c:v>
                </c:pt>
                <c:pt idx="76">
                  <c:v>6548</c:v>
                </c:pt>
                <c:pt idx="77">
                  <c:v>620</c:v>
                </c:pt>
                <c:pt idx="78">
                  <c:v>1012</c:v>
                </c:pt>
                <c:pt idx="79">
                  <c:v>2140</c:v>
                </c:pt>
                <c:pt idx="80">
                  <c:v>2005</c:v>
                </c:pt>
                <c:pt idx="81">
                  <c:v>2707</c:v>
                </c:pt>
                <c:pt idx="82">
                  <c:v>1925</c:v>
                </c:pt>
                <c:pt idx="83">
                  <c:v>2530</c:v>
                </c:pt>
              </c:numCache>
            </c:numRef>
          </c:val>
          <c:smooth val="0"/>
        </c:ser>
        <c:ser>
          <c:idx val="7"/>
          <c:order val="5"/>
          <c:tx>
            <c:strRef>
              <c:f>Dane!$AE$3</c:f>
              <c:strCache>
                <c:ptCount val="1"/>
                <c:pt idx="0">
                  <c:v>Dara</c:v>
                </c:pt>
              </c:strCache>
            </c:strRef>
          </c:tx>
          <c:spPr>
            <a:ln w="1905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Dane!$AE$4:$AE$87</c:f>
              <c:numCache>
                <c:formatCode>0</c:formatCode>
                <c:ptCount val="84"/>
                <c:pt idx="0">
                  <c:v>3452</c:v>
                </c:pt>
                <c:pt idx="1">
                  <c:v>4529</c:v>
                </c:pt>
                <c:pt idx="2">
                  <c:v>5069</c:v>
                </c:pt>
                <c:pt idx="3">
                  <c:v>5996</c:v>
                </c:pt>
                <c:pt idx="4">
                  <c:v>6302</c:v>
                </c:pt>
                <c:pt idx="5">
                  <c:v>4095</c:v>
                </c:pt>
                <c:pt idx="6">
                  <c:v>5748</c:v>
                </c:pt>
                <c:pt idx="7">
                  <c:v>4708</c:v>
                </c:pt>
                <c:pt idx="8">
                  <c:v>4563</c:v>
                </c:pt>
                <c:pt idx="9">
                  <c:v>11074</c:v>
                </c:pt>
                <c:pt idx="10">
                  <c:v>14506</c:v>
                </c:pt>
                <c:pt idx="11">
                  <c:v>8036</c:v>
                </c:pt>
                <c:pt idx="12">
                  <c:v>5463</c:v>
                </c:pt>
                <c:pt idx="13">
                  <c:v>4870</c:v>
                </c:pt>
                <c:pt idx="14">
                  <c:v>6448</c:v>
                </c:pt>
                <c:pt idx="15">
                  <c:v>7352</c:v>
                </c:pt>
                <c:pt idx="16">
                  <c:v>5601</c:v>
                </c:pt>
                <c:pt idx="17">
                  <c:v>5855</c:v>
                </c:pt>
                <c:pt idx="18">
                  <c:v>5642</c:v>
                </c:pt>
                <c:pt idx="19">
                  <c:v>3800</c:v>
                </c:pt>
                <c:pt idx="20">
                  <c:v>4772</c:v>
                </c:pt>
                <c:pt idx="21">
                  <c:v>5177</c:v>
                </c:pt>
                <c:pt idx="22">
                  <c:v>6882</c:v>
                </c:pt>
                <c:pt idx="23">
                  <c:v>7132</c:v>
                </c:pt>
                <c:pt idx="24">
                  <c:v>2688</c:v>
                </c:pt>
                <c:pt idx="25">
                  <c:v>2856</c:v>
                </c:pt>
                <c:pt idx="26">
                  <c:v>6011</c:v>
                </c:pt>
                <c:pt idx="27">
                  <c:v>10169</c:v>
                </c:pt>
                <c:pt idx="28">
                  <c:v>7101</c:v>
                </c:pt>
                <c:pt idx="29">
                  <c:v>5679</c:v>
                </c:pt>
                <c:pt idx="30">
                  <c:v>7905</c:v>
                </c:pt>
                <c:pt idx="31">
                  <c:v>9955</c:v>
                </c:pt>
                <c:pt idx="32">
                  <c:v>6893</c:v>
                </c:pt>
                <c:pt idx="33">
                  <c:v>5261</c:v>
                </c:pt>
                <c:pt idx="34">
                  <c:v>4850</c:v>
                </c:pt>
                <c:pt idx="35">
                  <c:v>5625</c:v>
                </c:pt>
                <c:pt idx="36">
                  <c:v>5409</c:v>
                </c:pt>
                <c:pt idx="37">
                  <c:v>5723</c:v>
                </c:pt>
                <c:pt idx="38">
                  <c:v>8248</c:v>
                </c:pt>
                <c:pt idx="39">
                  <c:v>9113</c:v>
                </c:pt>
                <c:pt idx="40">
                  <c:v>6298</c:v>
                </c:pt>
                <c:pt idx="41">
                  <c:v>5405</c:v>
                </c:pt>
                <c:pt idx="42">
                  <c:v>5566</c:v>
                </c:pt>
                <c:pt idx="43">
                  <c:v>5389</c:v>
                </c:pt>
                <c:pt idx="44">
                  <c:v>5747</c:v>
                </c:pt>
                <c:pt idx="45">
                  <c:v>5569</c:v>
                </c:pt>
                <c:pt idx="46">
                  <c:v>10508</c:v>
                </c:pt>
                <c:pt idx="47">
                  <c:v>6853</c:v>
                </c:pt>
                <c:pt idx="48">
                  <c:v>4581</c:v>
                </c:pt>
                <c:pt idx="49">
                  <c:v>6279</c:v>
                </c:pt>
                <c:pt idx="50">
                  <c:v>4244</c:v>
                </c:pt>
                <c:pt idx="51">
                  <c:v>6961</c:v>
                </c:pt>
                <c:pt idx="52">
                  <c:v>11091</c:v>
                </c:pt>
                <c:pt idx="53">
                  <c:v>9611</c:v>
                </c:pt>
                <c:pt idx="54">
                  <c:v>6511</c:v>
                </c:pt>
                <c:pt idx="55">
                  <c:v>7939</c:v>
                </c:pt>
                <c:pt idx="56">
                  <c:v>9716</c:v>
                </c:pt>
                <c:pt idx="57">
                  <c:v>6978</c:v>
                </c:pt>
                <c:pt idx="58">
                  <c:v>8279</c:v>
                </c:pt>
                <c:pt idx="59">
                  <c:v>10581</c:v>
                </c:pt>
                <c:pt idx="60">
                  <c:v>12360</c:v>
                </c:pt>
                <c:pt idx="61">
                  <c:v>9145</c:v>
                </c:pt>
                <c:pt idx="62">
                  <c:v>8624</c:v>
                </c:pt>
                <c:pt idx="63">
                  <c:v>5860</c:v>
                </c:pt>
                <c:pt idx="64">
                  <c:v>5295</c:v>
                </c:pt>
                <c:pt idx="65">
                  <c:v>6693</c:v>
                </c:pt>
                <c:pt idx="66">
                  <c:v>6564</c:v>
                </c:pt>
                <c:pt idx="67">
                  <c:v>9017</c:v>
                </c:pt>
                <c:pt idx="68">
                  <c:v>6663</c:v>
                </c:pt>
                <c:pt idx="69">
                  <c:v>4837</c:v>
                </c:pt>
                <c:pt idx="70">
                  <c:v>7622</c:v>
                </c:pt>
                <c:pt idx="71">
                  <c:v>5554</c:v>
                </c:pt>
                <c:pt idx="72">
                  <c:v>4914</c:v>
                </c:pt>
                <c:pt idx="73">
                  <c:v>12386</c:v>
                </c:pt>
                <c:pt idx="74">
                  <c:v>10502</c:v>
                </c:pt>
                <c:pt idx="75">
                  <c:v>8025</c:v>
                </c:pt>
                <c:pt idx="76">
                  <c:v>6144</c:v>
                </c:pt>
                <c:pt idx="77">
                  <c:v>6811</c:v>
                </c:pt>
                <c:pt idx="78">
                  <c:v>4602</c:v>
                </c:pt>
                <c:pt idx="79">
                  <c:v>5907</c:v>
                </c:pt>
                <c:pt idx="80">
                  <c:v>9131</c:v>
                </c:pt>
                <c:pt idx="81">
                  <c:v>13121</c:v>
                </c:pt>
                <c:pt idx="82">
                  <c:v>9703</c:v>
                </c:pt>
                <c:pt idx="83">
                  <c:v>7554</c:v>
                </c:pt>
              </c:numCache>
            </c:numRef>
          </c:val>
          <c:smooth val="0"/>
        </c:ser>
        <c:ser>
          <c:idx val="8"/>
          <c:order val="6"/>
          <c:tx>
            <c:strRef>
              <c:f>Dane!$AF$3</c:f>
              <c:strCache>
                <c:ptCount val="1"/>
                <c:pt idx="0">
                  <c:v>Hasaka</c:v>
                </c:pt>
              </c:strCache>
            </c:strRef>
          </c:tx>
          <c:spPr>
            <a:ln w="19050">
              <a:solidFill>
                <a:schemeClr val="tx2">
                  <a:lumMod val="20000"/>
                  <a:lumOff val="8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Dane!$AF$4:$AF$87</c:f>
              <c:numCache>
                <c:formatCode>0</c:formatCode>
                <c:ptCount val="84"/>
                <c:pt idx="0">
                  <c:v>285</c:v>
                </c:pt>
                <c:pt idx="1">
                  <c:v>289</c:v>
                </c:pt>
                <c:pt idx="2">
                  <c:v>361</c:v>
                </c:pt>
                <c:pt idx="3">
                  <c:v>342</c:v>
                </c:pt>
                <c:pt idx="4">
                  <c:v>312</c:v>
                </c:pt>
                <c:pt idx="5">
                  <c:v>199</c:v>
                </c:pt>
                <c:pt idx="6">
                  <c:v>187</c:v>
                </c:pt>
                <c:pt idx="7">
                  <c:v>239</c:v>
                </c:pt>
                <c:pt idx="8">
                  <c:v>193</c:v>
                </c:pt>
                <c:pt idx="9">
                  <c:v>346</c:v>
                </c:pt>
                <c:pt idx="10">
                  <c:v>601</c:v>
                </c:pt>
                <c:pt idx="11">
                  <c:v>275</c:v>
                </c:pt>
                <c:pt idx="12">
                  <c:v>174</c:v>
                </c:pt>
                <c:pt idx="13">
                  <c:v>210</c:v>
                </c:pt>
                <c:pt idx="14">
                  <c:v>195</c:v>
                </c:pt>
                <c:pt idx="15">
                  <c:v>176</c:v>
                </c:pt>
                <c:pt idx="16">
                  <c:v>413</c:v>
                </c:pt>
                <c:pt idx="17">
                  <c:v>385</c:v>
                </c:pt>
                <c:pt idx="18">
                  <c:v>159</c:v>
                </c:pt>
                <c:pt idx="19">
                  <c:v>67</c:v>
                </c:pt>
                <c:pt idx="20">
                  <c:v>256</c:v>
                </c:pt>
                <c:pt idx="21">
                  <c:v>210</c:v>
                </c:pt>
                <c:pt idx="22">
                  <c:v>150</c:v>
                </c:pt>
                <c:pt idx="23">
                  <c:v>333</c:v>
                </c:pt>
                <c:pt idx="24">
                  <c:v>262</c:v>
                </c:pt>
                <c:pt idx="25">
                  <c:v>188</c:v>
                </c:pt>
                <c:pt idx="26">
                  <c:v>311</c:v>
                </c:pt>
                <c:pt idx="27">
                  <c:v>327</c:v>
                </c:pt>
                <c:pt idx="28">
                  <c:v>282</c:v>
                </c:pt>
                <c:pt idx="29">
                  <c:v>130</c:v>
                </c:pt>
                <c:pt idx="30">
                  <c:v>281</c:v>
                </c:pt>
                <c:pt idx="31">
                  <c:v>660</c:v>
                </c:pt>
                <c:pt idx="32">
                  <c:v>467</c:v>
                </c:pt>
                <c:pt idx="33">
                  <c:v>281</c:v>
                </c:pt>
                <c:pt idx="34">
                  <c:v>526</c:v>
                </c:pt>
                <c:pt idx="35">
                  <c:v>282</c:v>
                </c:pt>
                <c:pt idx="36">
                  <c:v>230</c:v>
                </c:pt>
                <c:pt idx="37">
                  <c:v>254</c:v>
                </c:pt>
                <c:pt idx="38">
                  <c:v>406</c:v>
                </c:pt>
                <c:pt idx="39">
                  <c:v>249</c:v>
                </c:pt>
                <c:pt idx="40">
                  <c:v>160</c:v>
                </c:pt>
                <c:pt idx="41">
                  <c:v>128</c:v>
                </c:pt>
                <c:pt idx="42">
                  <c:v>204</c:v>
                </c:pt>
                <c:pt idx="43">
                  <c:v>302</c:v>
                </c:pt>
                <c:pt idx="44">
                  <c:v>345</c:v>
                </c:pt>
                <c:pt idx="45">
                  <c:v>345</c:v>
                </c:pt>
                <c:pt idx="46">
                  <c:v>922</c:v>
                </c:pt>
                <c:pt idx="47">
                  <c:v>719</c:v>
                </c:pt>
                <c:pt idx="48">
                  <c:v>223</c:v>
                </c:pt>
                <c:pt idx="49">
                  <c:v>571</c:v>
                </c:pt>
                <c:pt idx="50">
                  <c:v>308</c:v>
                </c:pt>
                <c:pt idx="51">
                  <c:v>420</c:v>
                </c:pt>
                <c:pt idx="52">
                  <c:v>2816</c:v>
                </c:pt>
                <c:pt idx="53">
                  <c:v>1019</c:v>
                </c:pt>
                <c:pt idx="54">
                  <c:v>1038</c:v>
                </c:pt>
                <c:pt idx="55">
                  <c:v>403</c:v>
                </c:pt>
                <c:pt idx="56">
                  <c:v>608</c:v>
                </c:pt>
                <c:pt idx="57">
                  <c:v>633</c:v>
                </c:pt>
                <c:pt idx="58">
                  <c:v>241</c:v>
                </c:pt>
                <c:pt idx="59">
                  <c:v>262</c:v>
                </c:pt>
                <c:pt idx="60">
                  <c:v>557</c:v>
                </c:pt>
                <c:pt idx="61">
                  <c:v>322</c:v>
                </c:pt>
                <c:pt idx="62">
                  <c:v>771</c:v>
                </c:pt>
                <c:pt idx="63">
                  <c:v>293</c:v>
                </c:pt>
                <c:pt idx="64">
                  <c:v>437</c:v>
                </c:pt>
                <c:pt idx="65">
                  <c:v>137</c:v>
                </c:pt>
                <c:pt idx="66">
                  <c:v>163</c:v>
                </c:pt>
                <c:pt idx="67">
                  <c:v>740</c:v>
                </c:pt>
                <c:pt idx="68">
                  <c:v>446</c:v>
                </c:pt>
                <c:pt idx="69">
                  <c:v>709</c:v>
                </c:pt>
                <c:pt idx="70">
                  <c:v>637</c:v>
                </c:pt>
                <c:pt idx="71">
                  <c:v>816</c:v>
                </c:pt>
                <c:pt idx="72">
                  <c:v>1058</c:v>
                </c:pt>
                <c:pt idx="73">
                  <c:v>317</c:v>
                </c:pt>
                <c:pt idx="74">
                  <c:v>513</c:v>
                </c:pt>
                <c:pt idx="75">
                  <c:v>390</c:v>
                </c:pt>
                <c:pt idx="76">
                  <c:v>180</c:v>
                </c:pt>
                <c:pt idx="77">
                  <c:v>347</c:v>
                </c:pt>
                <c:pt idx="78">
                  <c:v>247</c:v>
                </c:pt>
                <c:pt idx="79">
                  <c:v>350</c:v>
                </c:pt>
                <c:pt idx="80">
                  <c:v>398</c:v>
                </c:pt>
                <c:pt idx="81">
                  <c:v>279</c:v>
                </c:pt>
                <c:pt idx="82">
                  <c:v>166</c:v>
                </c:pt>
                <c:pt idx="83">
                  <c:v>126</c:v>
                </c:pt>
              </c:numCache>
            </c:numRef>
          </c:val>
          <c:smooth val="0"/>
        </c:ser>
        <c:ser>
          <c:idx val="0"/>
          <c:order val="7"/>
          <c:tx>
            <c:strRef>
              <c:f>Dane!$AG$3</c:f>
              <c:strCache>
                <c:ptCount val="1"/>
                <c:pt idx="0">
                  <c:v>Idlib</c:v>
                </c:pt>
              </c:strCache>
            </c:strRef>
          </c:tx>
          <c:spPr>
            <a:ln w="19050"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Dane!$AG$4:$AG$87</c:f>
              <c:numCache>
                <c:formatCode>0</c:formatCode>
                <c:ptCount val="84"/>
                <c:pt idx="0">
                  <c:v>1991</c:v>
                </c:pt>
                <c:pt idx="1">
                  <c:v>1306</c:v>
                </c:pt>
                <c:pt idx="2">
                  <c:v>1232</c:v>
                </c:pt>
                <c:pt idx="3">
                  <c:v>3195</c:v>
                </c:pt>
                <c:pt idx="4">
                  <c:v>3609</c:v>
                </c:pt>
                <c:pt idx="5">
                  <c:v>2322</c:v>
                </c:pt>
                <c:pt idx="6">
                  <c:v>2629</c:v>
                </c:pt>
                <c:pt idx="7">
                  <c:v>2282</c:v>
                </c:pt>
                <c:pt idx="8">
                  <c:v>2121</c:v>
                </c:pt>
                <c:pt idx="9">
                  <c:v>2256</c:v>
                </c:pt>
                <c:pt idx="10">
                  <c:v>3429</c:v>
                </c:pt>
                <c:pt idx="11">
                  <c:v>2757</c:v>
                </c:pt>
                <c:pt idx="12">
                  <c:v>1616</c:v>
                </c:pt>
                <c:pt idx="13">
                  <c:v>2309</c:v>
                </c:pt>
                <c:pt idx="14">
                  <c:v>1378</c:v>
                </c:pt>
                <c:pt idx="15">
                  <c:v>1822</c:v>
                </c:pt>
                <c:pt idx="16">
                  <c:v>1373</c:v>
                </c:pt>
                <c:pt idx="17">
                  <c:v>2384</c:v>
                </c:pt>
                <c:pt idx="18">
                  <c:v>1349</c:v>
                </c:pt>
                <c:pt idx="19">
                  <c:v>809</c:v>
                </c:pt>
                <c:pt idx="20">
                  <c:v>1552</c:v>
                </c:pt>
                <c:pt idx="21">
                  <c:v>1431</c:v>
                </c:pt>
                <c:pt idx="22">
                  <c:v>2023</c:v>
                </c:pt>
                <c:pt idx="23">
                  <c:v>2362</c:v>
                </c:pt>
                <c:pt idx="24">
                  <c:v>542</c:v>
                </c:pt>
                <c:pt idx="25">
                  <c:v>679</c:v>
                </c:pt>
                <c:pt idx="26">
                  <c:v>1835</c:v>
                </c:pt>
                <c:pt idx="27">
                  <c:v>3099</c:v>
                </c:pt>
                <c:pt idx="28">
                  <c:v>4298</c:v>
                </c:pt>
                <c:pt idx="29">
                  <c:v>2486</c:v>
                </c:pt>
                <c:pt idx="30">
                  <c:v>3084</c:v>
                </c:pt>
                <c:pt idx="31">
                  <c:v>2334</c:v>
                </c:pt>
                <c:pt idx="32">
                  <c:v>2003</c:v>
                </c:pt>
                <c:pt idx="33">
                  <c:v>1293</c:v>
                </c:pt>
                <c:pt idx="34">
                  <c:v>1957</c:v>
                </c:pt>
                <c:pt idx="35">
                  <c:v>3566</c:v>
                </c:pt>
                <c:pt idx="36">
                  <c:v>3199</c:v>
                </c:pt>
                <c:pt idx="37">
                  <c:v>2286</c:v>
                </c:pt>
                <c:pt idx="38">
                  <c:v>2789</c:v>
                </c:pt>
                <c:pt idx="39">
                  <c:v>2872</c:v>
                </c:pt>
                <c:pt idx="40">
                  <c:v>2208</c:v>
                </c:pt>
                <c:pt idx="41">
                  <c:v>1545</c:v>
                </c:pt>
                <c:pt idx="42">
                  <c:v>1814</c:v>
                </c:pt>
                <c:pt idx="43">
                  <c:v>1165</c:v>
                </c:pt>
                <c:pt idx="44">
                  <c:v>1502</c:v>
                </c:pt>
                <c:pt idx="45">
                  <c:v>1669</c:v>
                </c:pt>
                <c:pt idx="46">
                  <c:v>2513</c:v>
                </c:pt>
                <c:pt idx="47">
                  <c:v>1792</c:v>
                </c:pt>
                <c:pt idx="48">
                  <c:v>1457</c:v>
                </c:pt>
                <c:pt idx="49">
                  <c:v>1183</c:v>
                </c:pt>
                <c:pt idx="50">
                  <c:v>2090</c:v>
                </c:pt>
                <c:pt idx="51">
                  <c:v>2264</c:v>
                </c:pt>
                <c:pt idx="52">
                  <c:v>2871</c:v>
                </c:pt>
                <c:pt idx="53">
                  <c:v>2516</c:v>
                </c:pt>
                <c:pt idx="54">
                  <c:v>1676</c:v>
                </c:pt>
                <c:pt idx="55">
                  <c:v>2332</c:v>
                </c:pt>
                <c:pt idx="56">
                  <c:v>2631</c:v>
                </c:pt>
                <c:pt idx="57">
                  <c:v>2645</c:v>
                </c:pt>
                <c:pt idx="58">
                  <c:v>3417</c:v>
                </c:pt>
                <c:pt idx="59">
                  <c:v>4244</c:v>
                </c:pt>
                <c:pt idx="60">
                  <c:v>3109</c:v>
                </c:pt>
                <c:pt idx="61">
                  <c:v>2198</c:v>
                </c:pt>
                <c:pt idx="62">
                  <c:v>1721</c:v>
                </c:pt>
                <c:pt idx="63">
                  <c:v>1599</c:v>
                </c:pt>
                <c:pt idx="64">
                  <c:v>3196</c:v>
                </c:pt>
                <c:pt idx="65">
                  <c:v>3022</c:v>
                </c:pt>
                <c:pt idx="66">
                  <c:v>2837</c:v>
                </c:pt>
                <c:pt idx="67">
                  <c:v>3142</c:v>
                </c:pt>
                <c:pt idx="68">
                  <c:v>2270</c:v>
                </c:pt>
                <c:pt idx="69">
                  <c:v>4548</c:v>
                </c:pt>
                <c:pt idx="70">
                  <c:v>3006</c:v>
                </c:pt>
                <c:pt idx="71">
                  <c:v>3281</c:v>
                </c:pt>
                <c:pt idx="72">
                  <c:v>4399</c:v>
                </c:pt>
                <c:pt idx="73">
                  <c:v>4063</c:v>
                </c:pt>
                <c:pt idx="74">
                  <c:v>3080</c:v>
                </c:pt>
                <c:pt idx="75">
                  <c:v>2347</c:v>
                </c:pt>
                <c:pt idx="76">
                  <c:v>3590</c:v>
                </c:pt>
                <c:pt idx="77">
                  <c:v>4931</c:v>
                </c:pt>
                <c:pt idx="78">
                  <c:v>4757</c:v>
                </c:pt>
                <c:pt idx="79">
                  <c:v>3101</c:v>
                </c:pt>
                <c:pt idx="80">
                  <c:v>2343</c:v>
                </c:pt>
                <c:pt idx="81">
                  <c:v>1977</c:v>
                </c:pt>
                <c:pt idx="82">
                  <c:v>1524</c:v>
                </c:pt>
                <c:pt idx="83">
                  <c:v>2725</c:v>
                </c:pt>
              </c:numCache>
            </c:numRef>
          </c:val>
          <c:smooth val="0"/>
        </c:ser>
        <c:ser>
          <c:idx val="9"/>
          <c:order val="8"/>
          <c:tx>
            <c:strRef>
              <c:f>Dane!$AH$3</c:f>
              <c:strCache>
                <c:ptCount val="1"/>
                <c:pt idx="0">
                  <c:v>Latakia</c:v>
                </c:pt>
              </c:strCache>
            </c:strRef>
          </c:tx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Dane!$AH$4:$AH$87</c:f>
              <c:numCache>
                <c:formatCode>0</c:formatCode>
                <c:ptCount val="84"/>
                <c:pt idx="0">
                  <c:v>674</c:v>
                </c:pt>
                <c:pt idx="1">
                  <c:v>771</c:v>
                </c:pt>
                <c:pt idx="2">
                  <c:v>997</c:v>
                </c:pt>
                <c:pt idx="3">
                  <c:v>1011</c:v>
                </c:pt>
                <c:pt idx="4">
                  <c:v>755</c:v>
                </c:pt>
                <c:pt idx="5">
                  <c:v>547</c:v>
                </c:pt>
                <c:pt idx="6">
                  <c:v>1639</c:v>
                </c:pt>
                <c:pt idx="7">
                  <c:v>5928</c:v>
                </c:pt>
                <c:pt idx="8">
                  <c:v>5733</c:v>
                </c:pt>
                <c:pt idx="9">
                  <c:v>3032</c:v>
                </c:pt>
                <c:pt idx="10">
                  <c:v>3705</c:v>
                </c:pt>
                <c:pt idx="11">
                  <c:v>5217</c:v>
                </c:pt>
                <c:pt idx="12">
                  <c:v>3519</c:v>
                </c:pt>
                <c:pt idx="13">
                  <c:v>3134</c:v>
                </c:pt>
                <c:pt idx="14">
                  <c:v>3323</c:v>
                </c:pt>
                <c:pt idx="15">
                  <c:v>1629</c:v>
                </c:pt>
                <c:pt idx="16">
                  <c:v>1872</c:v>
                </c:pt>
                <c:pt idx="17">
                  <c:v>1979</c:v>
                </c:pt>
                <c:pt idx="18">
                  <c:v>1688</c:v>
                </c:pt>
                <c:pt idx="19">
                  <c:v>1074</c:v>
                </c:pt>
                <c:pt idx="20">
                  <c:v>1072</c:v>
                </c:pt>
                <c:pt idx="21">
                  <c:v>1806</c:v>
                </c:pt>
                <c:pt idx="22">
                  <c:v>1357</c:v>
                </c:pt>
                <c:pt idx="23">
                  <c:v>1577</c:v>
                </c:pt>
                <c:pt idx="24">
                  <c:v>971</c:v>
                </c:pt>
                <c:pt idx="25">
                  <c:v>807</c:v>
                </c:pt>
                <c:pt idx="26">
                  <c:v>1036</c:v>
                </c:pt>
                <c:pt idx="27">
                  <c:v>1017</c:v>
                </c:pt>
                <c:pt idx="28">
                  <c:v>1562</c:v>
                </c:pt>
                <c:pt idx="29">
                  <c:v>776</c:v>
                </c:pt>
                <c:pt idx="30">
                  <c:v>1173</c:v>
                </c:pt>
                <c:pt idx="31">
                  <c:v>1452</c:v>
                </c:pt>
                <c:pt idx="32">
                  <c:v>1552</c:v>
                </c:pt>
                <c:pt idx="33">
                  <c:v>1082</c:v>
                </c:pt>
                <c:pt idx="34">
                  <c:v>1217</c:v>
                </c:pt>
                <c:pt idx="35">
                  <c:v>982</c:v>
                </c:pt>
                <c:pt idx="36">
                  <c:v>1458</c:v>
                </c:pt>
                <c:pt idx="37">
                  <c:v>1475</c:v>
                </c:pt>
                <c:pt idx="38">
                  <c:v>1168</c:v>
                </c:pt>
                <c:pt idx="39">
                  <c:v>1803</c:v>
                </c:pt>
                <c:pt idx="40">
                  <c:v>1155</c:v>
                </c:pt>
                <c:pt idx="41">
                  <c:v>1513</c:v>
                </c:pt>
                <c:pt idx="42">
                  <c:v>953</c:v>
                </c:pt>
                <c:pt idx="43">
                  <c:v>1113</c:v>
                </c:pt>
                <c:pt idx="44">
                  <c:v>2291</c:v>
                </c:pt>
                <c:pt idx="45">
                  <c:v>2086</c:v>
                </c:pt>
                <c:pt idx="46">
                  <c:v>1784</c:v>
                </c:pt>
                <c:pt idx="47">
                  <c:v>1462</c:v>
                </c:pt>
                <c:pt idx="48">
                  <c:v>1027</c:v>
                </c:pt>
                <c:pt idx="49">
                  <c:v>1003</c:v>
                </c:pt>
                <c:pt idx="50">
                  <c:v>4862</c:v>
                </c:pt>
                <c:pt idx="51">
                  <c:v>3208</c:v>
                </c:pt>
                <c:pt idx="52">
                  <c:v>2899</c:v>
                </c:pt>
                <c:pt idx="53">
                  <c:v>3013</c:v>
                </c:pt>
                <c:pt idx="54">
                  <c:v>2056</c:v>
                </c:pt>
                <c:pt idx="55">
                  <c:v>3055</c:v>
                </c:pt>
                <c:pt idx="56">
                  <c:v>2950</c:v>
                </c:pt>
                <c:pt idx="57">
                  <c:v>1859</c:v>
                </c:pt>
                <c:pt idx="58">
                  <c:v>2382</c:v>
                </c:pt>
                <c:pt idx="59">
                  <c:v>4500</c:v>
                </c:pt>
                <c:pt idx="60">
                  <c:v>5910</c:v>
                </c:pt>
                <c:pt idx="61">
                  <c:v>4611</c:v>
                </c:pt>
                <c:pt idx="62">
                  <c:v>2502</c:v>
                </c:pt>
                <c:pt idx="63">
                  <c:v>1770</c:v>
                </c:pt>
                <c:pt idx="64">
                  <c:v>1759</c:v>
                </c:pt>
                <c:pt idx="65">
                  <c:v>1580</c:v>
                </c:pt>
                <c:pt idx="66">
                  <c:v>2740</c:v>
                </c:pt>
                <c:pt idx="67">
                  <c:v>3087</c:v>
                </c:pt>
                <c:pt idx="68">
                  <c:v>2464</c:v>
                </c:pt>
                <c:pt idx="69">
                  <c:v>3595</c:v>
                </c:pt>
                <c:pt idx="70">
                  <c:v>2556</c:v>
                </c:pt>
                <c:pt idx="71">
                  <c:v>1848</c:v>
                </c:pt>
                <c:pt idx="72">
                  <c:v>2157</c:v>
                </c:pt>
                <c:pt idx="73">
                  <c:v>2536</c:v>
                </c:pt>
                <c:pt idx="74">
                  <c:v>1773</c:v>
                </c:pt>
                <c:pt idx="75">
                  <c:v>1724</c:v>
                </c:pt>
                <c:pt idx="76">
                  <c:v>1760</c:v>
                </c:pt>
                <c:pt idx="77">
                  <c:v>1089</c:v>
                </c:pt>
                <c:pt idx="78">
                  <c:v>1084</c:v>
                </c:pt>
                <c:pt idx="79">
                  <c:v>1408</c:v>
                </c:pt>
                <c:pt idx="80">
                  <c:v>2522</c:v>
                </c:pt>
                <c:pt idx="81">
                  <c:v>2362</c:v>
                </c:pt>
                <c:pt idx="82">
                  <c:v>1647</c:v>
                </c:pt>
                <c:pt idx="83">
                  <c:v>2141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665024"/>
        <c:axId val="609330880"/>
      </c:lineChart>
      <c:catAx>
        <c:axId val="713665024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</a:ln>
          </c:spPr>
        </c:minorGridlines>
        <c:numFmt formatCode="m/d/yyyy" sourceLinked="0"/>
        <c:majorTickMark val="none"/>
        <c:minorTickMark val="none"/>
        <c:tickLblPos val="nextTo"/>
        <c:spPr>
          <a:ln>
            <a:solidFill>
              <a:schemeClr val="tx1">
                <a:lumMod val="95000"/>
                <a:lumOff val="5000"/>
                <a:alpha val="25000"/>
              </a:schemeClr>
            </a:solidFill>
          </a:ln>
        </c:spPr>
        <c:txPr>
          <a:bodyPr rot="1800000" anchor="ctr" anchorCtr="0"/>
          <a:lstStyle/>
          <a:p>
            <a:pPr>
              <a:defRPr sz="600"/>
            </a:pPr>
            <a:endParaRPr lang="pl-PL"/>
          </a:p>
        </c:txPr>
        <c:crossAx val="609330880"/>
        <c:crosses val="autoZero"/>
        <c:auto val="0"/>
        <c:lblAlgn val="ctr"/>
        <c:lblOffset val="150"/>
        <c:tickMarkSkip val="1"/>
        <c:noMultiLvlLbl val="0"/>
      </c:catAx>
      <c:valAx>
        <c:axId val="6093308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25000"/>
                </a:schemeClr>
              </a:solidFill>
            </a:ln>
            <a:effectLst/>
          </c:spPr>
        </c:majorGridlines>
        <c:minorGridlines>
          <c:spPr>
            <a:ln w="6350">
              <a:solidFill>
                <a:schemeClr val="bg1">
                  <a:lumMod val="95000"/>
                </a:schemeClr>
              </a:solidFill>
            </a:ln>
          </c:spPr>
        </c:minorGridlines>
        <c:numFmt formatCode="0" sourceLinked="1"/>
        <c:majorTickMark val="none"/>
        <c:minorTickMark val="none"/>
        <c:tickLblPos val="nextTo"/>
        <c:spPr>
          <a:ln>
            <a:solidFill>
              <a:schemeClr val="tx1">
                <a:lumMod val="95000"/>
                <a:lumOff val="5000"/>
                <a:alpha val="25000"/>
              </a:schemeClr>
            </a:solidFill>
          </a:ln>
        </c:spPr>
        <c:txPr>
          <a:bodyPr/>
          <a:lstStyle/>
          <a:p>
            <a:pPr>
              <a:defRPr sz="600"/>
            </a:pPr>
            <a:endParaRPr lang="pl-PL"/>
          </a:p>
        </c:txPr>
        <c:crossAx val="713665024"/>
        <c:crosses val="autoZero"/>
        <c:crossBetween val="between"/>
      </c:valAx>
      <c:spPr>
        <a:blipFill>
          <a:blip xmlns:r="http://schemas.openxmlformats.org/officeDocument/2006/relationships" r:embed="rId1">
            <a:alphaModFix amt="10000"/>
          </a:blip>
          <a:stretch>
            <a:fillRect l="10000" r="10000"/>
          </a:stretch>
        </a:blipFill>
        <a:effectLst/>
      </c:spPr>
    </c:plotArea>
    <c:legend>
      <c:legendPos val="r"/>
      <c:layout>
        <c:manualLayout>
          <c:xMode val="edge"/>
          <c:yMode val="edge"/>
          <c:x val="0.84614533432573757"/>
          <c:y val="2.8481452773578542E-2"/>
          <c:w val="0.15385461311007009"/>
          <c:h val="0.37345764442545792"/>
        </c:manualLayout>
      </c:layout>
      <c:overlay val="0"/>
      <c:txPr>
        <a:bodyPr/>
        <a:lstStyle/>
        <a:p>
          <a:pPr>
            <a:defRPr sz="700"/>
          </a:pPr>
          <a:endParaRPr lang="pl-PL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Verdana" pitchFamily="34" charset="0"/>
          <a:ea typeface="Verdana" pitchFamily="34" charset="0"/>
          <a:cs typeface="Verdana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665044724487868E-2"/>
          <c:y val="3.2214199290365231E-2"/>
          <c:w val="0.78760516767997379"/>
          <c:h val="0.77303839854152923"/>
        </c:manualLayout>
      </c:layout>
      <c:lineChart>
        <c:grouping val="standard"/>
        <c:varyColors val="0"/>
        <c:ser>
          <c:idx val="1"/>
          <c:order val="0"/>
          <c:tx>
            <c:strRef>
              <c:f>Dane!$AI$3</c:f>
              <c:strCache>
                <c:ptCount val="1"/>
                <c:pt idx="0">
                  <c:v>SUMA DNIA</c:v>
                </c:pt>
              </c:strCache>
            </c:strRef>
          </c:tx>
          <c:spPr>
            <a:ln w="19050"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Dane!$AI$4:$AI$87</c:f>
              <c:numCache>
                <c:formatCode>0</c:formatCode>
                <c:ptCount val="84"/>
                <c:pt idx="0">
                  <c:v>36171</c:v>
                </c:pt>
                <c:pt idx="1">
                  <c:v>38957</c:v>
                </c:pt>
                <c:pt idx="2">
                  <c:v>40753</c:v>
                </c:pt>
                <c:pt idx="3">
                  <c:v>81004</c:v>
                </c:pt>
                <c:pt idx="4">
                  <c:v>69189</c:v>
                </c:pt>
                <c:pt idx="5">
                  <c:v>36349</c:v>
                </c:pt>
                <c:pt idx="6">
                  <c:v>38325</c:v>
                </c:pt>
                <c:pt idx="7">
                  <c:v>45828</c:v>
                </c:pt>
                <c:pt idx="8">
                  <c:v>42756</c:v>
                </c:pt>
                <c:pt idx="9">
                  <c:v>56222</c:v>
                </c:pt>
                <c:pt idx="10">
                  <c:v>110414</c:v>
                </c:pt>
                <c:pt idx="11">
                  <c:v>105276</c:v>
                </c:pt>
                <c:pt idx="12">
                  <c:v>47846</c:v>
                </c:pt>
                <c:pt idx="13">
                  <c:v>50212</c:v>
                </c:pt>
                <c:pt idx="14">
                  <c:v>52180</c:v>
                </c:pt>
                <c:pt idx="15">
                  <c:v>43105</c:v>
                </c:pt>
                <c:pt idx="16">
                  <c:v>46047</c:v>
                </c:pt>
                <c:pt idx="17">
                  <c:v>137922</c:v>
                </c:pt>
                <c:pt idx="18">
                  <c:v>118452</c:v>
                </c:pt>
                <c:pt idx="19">
                  <c:v>46085</c:v>
                </c:pt>
                <c:pt idx="20">
                  <c:v>49451</c:v>
                </c:pt>
                <c:pt idx="21">
                  <c:v>45441</c:v>
                </c:pt>
                <c:pt idx="22">
                  <c:v>46203</c:v>
                </c:pt>
                <c:pt idx="23">
                  <c:v>45384</c:v>
                </c:pt>
                <c:pt idx="24">
                  <c:v>30338</c:v>
                </c:pt>
                <c:pt idx="25">
                  <c:v>28440</c:v>
                </c:pt>
                <c:pt idx="26">
                  <c:v>45963</c:v>
                </c:pt>
                <c:pt idx="27">
                  <c:v>56378</c:v>
                </c:pt>
                <c:pt idx="28">
                  <c:v>51012</c:v>
                </c:pt>
                <c:pt idx="29">
                  <c:v>44047</c:v>
                </c:pt>
                <c:pt idx="30">
                  <c:v>54634</c:v>
                </c:pt>
                <c:pt idx="31">
                  <c:v>83875</c:v>
                </c:pt>
                <c:pt idx="32">
                  <c:v>80249</c:v>
                </c:pt>
                <c:pt idx="33">
                  <c:v>45996</c:v>
                </c:pt>
                <c:pt idx="34">
                  <c:v>45108</c:v>
                </c:pt>
                <c:pt idx="35">
                  <c:v>39586</c:v>
                </c:pt>
                <c:pt idx="36">
                  <c:v>40715</c:v>
                </c:pt>
                <c:pt idx="37">
                  <c:v>45425</c:v>
                </c:pt>
                <c:pt idx="38">
                  <c:v>64405</c:v>
                </c:pt>
                <c:pt idx="39">
                  <c:v>76326</c:v>
                </c:pt>
                <c:pt idx="40">
                  <c:v>42737</c:v>
                </c:pt>
                <c:pt idx="41">
                  <c:v>36935</c:v>
                </c:pt>
                <c:pt idx="42">
                  <c:v>40242</c:v>
                </c:pt>
                <c:pt idx="43">
                  <c:v>39737</c:v>
                </c:pt>
                <c:pt idx="44">
                  <c:v>64819</c:v>
                </c:pt>
                <c:pt idx="45">
                  <c:v>73775</c:v>
                </c:pt>
                <c:pt idx="46">
                  <c:v>183870</c:v>
                </c:pt>
                <c:pt idx="47">
                  <c:v>114834</c:v>
                </c:pt>
                <c:pt idx="48">
                  <c:v>104391</c:v>
                </c:pt>
                <c:pt idx="49">
                  <c:v>197276</c:v>
                </c:pt>
                <c:pt idx="50">
                  <c:v>243504</c:v>
                </c:pt>
                <c:pt idx="51">
                  <c:v>148614</c:v>
                </c:pt>
                <c:pt idx="52">
                  <c:v>212087</c:v>
                </c:pt>
                <c:pt idx="53">
                  <c:v>183491</c:v>
                </c:pt>
                <c:pt idx="54">
                  <c:v>135534</c:v>
                </c:pt>
                <c:pt idx="55">
                  <c:v>117068</c:v>
                </c:pt>
                <c:pt idx="56">
                  <c:v>128674</c:v>
                </c:pt>
                <c:pt idx="57">
                  <c:v>111255</c:v>
                </c:pt>
                <c:pt idx="58">
                  <c:v>106840</c:v>
                </c:pt>
                <c:pt idx="59">
                  <c:v>193812</c:v>
                </c:pt>
                <c:pt idx="60">
                  <c:v>199582</c:v>
                </c:pt>
                <c:pt idx="61">
                  <c:v>143282</c:v>
                </c:pt>
                <c:pt idx="62">
                  <c:v>143297</c:v>
                </c:pt>
                <c:pt idx="63">
                  <c:v>143280</c:v>
                </c:pt>
                <c:pt idx="64">
                  <c:v>125838</c:v>
                </c:pt>
                <c:pt idx="65">
                  <c:v>114473</c:v>
                </c:pt>
                <c:pt idx="66">
                  <c:v>209100</c:v>
                </c:pt>
                <c:pt idx="67">
                  <c:v>196796</c:v>
                </c:pt>
                <c:pt idx="68">
                  <c:v>183869</c:v>
                </c:pt>
                <c:pt idx="69">
                  <c:v>133671</c:v>
                </c:pt>
                <c:pt idx="70">
                  <c:v>141293</c:v>
                </c:pt>
                <c:pt idx="71">
                  <c:v>117597</c:v>
                </c:pt>
                <c:pt idx="72">
                  <c:v>118008</c:v>
                </c:pt>
                <c:pt idx="73">
                  <c:v>171584</c:v>
                </c:pt>
                <c:pt idx="74">
                  <c:v>143192</c:v>
                </c:pt>
                <c:pt idx="75">
                  <c:v>118767</c:v>
                </c:pt>
                <c:pt idx="76">
                  <c:v>123799</c:v>
                </c:pt>
                <c:pt idx="77">
                  <c:v>157235</c:v>
                </c:pt>
                <c:pt idx="78">
                  <c:v>126530</c:v>
                </c:pt>
                <c:pt idx="79">
                  <c:v>117232</c:v>
                </c:pt>
                <c:pt idx="80">
                  <c:v>119830</c:v>
                </c:pt>
                <c:pt idx="81">
                  <c:v>115542</c:v>
                </c:pt>
                <c:pt idx="82">
                  <c:v>99914</c:v>
                </c:pt>
                <c:pt idx="83">
                  <c:v>116838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Dane!$AJ$3</c:f>
              <c:strCache>
                <c:ptCount val="1"/>
                <c:pt idx="0">
                  <c:v>SUMA Z OST. 7 DNI</c:v>
                </c:pt>
              </c:strCache>
            </c:strRef>
          </c:tx>
          <c:spPr>
            <a:ln w="19050"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Dane!$AJ$4:$AJ$87</c:f>
              <c:numCache>
                <c:formatCode>0</c:formatCode>
                <c:ptCount val="84"/>
                <c:pt idx="6">
                  <c:v>48678.285714285717</c:v>
                </c:pt>
                <c:pt idx="7">
                  <c:v>50057.857142857145</c:v>
                </c:pt>
                <c:pt idx="8">
                  <c:v>50600.571428571428</c:v>
                </c:pt>
                <c:pt idx="9">
                  <c:v>52810.428571428572</c:v>
                </c:pt>
                <c:pt idx="10">
                  <c:v>57011.857142857145</c:v>
                </c:pt>
                <c:pt idx="11">
                  <c:v>62167.142857142855</c:v>
                </c:pt>
                <c:pt idx="12">
                  <c:v>63809.571428571428</c:v>
                </c:pt>
                <c:pt idx="13">
                  <c:v>65507.714285714283</c:v>
                </c:pt>
                <c:pt idx="14">
                  <c:v>66415.142857142855</c:v>
                </c:pt>
                <c:pt idx="15">
                  <c:v>66465</c:v>
                </c:pt>
                <c:pt idx="16">
                  <c:v>65011.428571428572</c:v>
                </c:pt>
                <c:pt idx="17">
                  <c:v>68941.142857142855</c:v>
                </c:pt>
                <c:pt idx="18">
                  <c:v>70823.428571428565</c:v>
                </c:pt>
                <c:pt idx="19">
                  <c:v>70571.857142857145</c:v>
                </c:pt>
                <c:pt idx="20">
                  <c:v>70463.142857142855</c:v>
                </c:pt>
                <c:pt idx="21">
                  <c:v>69500.428571428565</c:v>
                </c:pt>
                <c:pt idx="22">
                  <c:v>69943</c:v>
                </c:pt>
                <c:pt idx="23">
                  <c:v>69848.28571428571</c:v>
                </c:pt>
                <c:pt idx="24">
                  <c:v>54479.142857142855</c:v>
                </c:pt>
                <c:pt idx="25">
                  <c:v>41620.285714285717</c:v>
                </c:pt>
                <c:pt idx="26">
                  <c:v>41602.857142857145</c:v>
                </c:pt>
                <c:pt idx="27">
                  <c:v>42592.428571428572</c:v>
                </c:pt>
                <c:pt idx="28">
                  <c:v>43388.285714285717</c:v>
                </c:pt>
                <c:pt idx="29">
                  <c:v>43080.285714285717</c:v>
                </c:pt>
                <c:pt idx="30">
                  <c:v>44401.714285714283</c:v>
                </c:pt>
                <c:pt idx="31">
                  <c:v>52049.857142857145</c:v>
                </c:pt>
                <c:pt idx="32">
                  <c:v>59451.142857142855</c:v>
                </c:pt>
                <c:pt idx="33">
                  <c:v>59455.857142857145</c:v>
                </c:pt>
                <c:pt idx="34">
                  <c:v>57845.857142857145</c:v>
                </c:pt>
                <c:pt idx="35">
                  <c:v>56213.571428571428</c:v>
                </c:pt>
                <c:pt idx="36">
                  <c:v>55737.571428571428</c:v>
                </c:pt>
                <c:pt idx="37">
                  <c:v>54422</c:v>
                </c:pt>
                <c:pt idx="38">
                  <c:v>51640.571428571428</c:v>
                </c:pt>
                <c:pt idx="39">
                  <c:v>51080.142857142855</c:v>
                </c:pt>
                <c:pt idx="40">
                  <c:v>50614.571428571428</c:v>
                </c:pt>
                <c:pt idx="41">
                  <c:v>49447</c:v>
                </c:pt>
                <c:pt idx="42">
                  <c:v>49540.714285714283</c:v>
                </c:pt>
                <c:pt idx="43">
                  <c:v>49401</c:v>
                </c:pt>
                <c:pt idx="44">
                  <c:v>52171.571428571428</c:v>
                </c:pt>
                <c:pt idx="45">
                  <c:v>53510.142857142855</c:v>
                </c:pt>
                <c:pt idx="46">
                  <c:v>68873.571428571435</c:v>
                </c:pt>
                <c:pt idx="47">
                  <c:v>79173.142857142855</c:v>
                </c:pt>
                <c:pt idx="48">
                  <c:v>88809.71428571429</c:v>
                </c:pt>
                <c:pt idx="49">
                  <c:v>111243.14285714286</c:v>
                </c:pt>
                <c:pt idx="50">
                  <c:v>140352.71428571429</c:v>
                </c:pt>
                <c:pt idx="51">
                  <c:v>152323.42857142858</c:v>
                </c:pt>
                <c:pt idx="52">
                  <c:v>172082.28571428571</c:v>
                </c:pt>
                <c:pt idx="53">
                  <c:v>172028.14285714287</c:v>
                </c:pt>
                <c:pt idx="54">
                  <c:v>174985.28571428571</c:v>
                </c:pt>
                <c:pt idx="55">
                  <c:v>176796.28571428571</c:v>
                </c:pt>
                <c:pt idx="56">
                  <c:v>166996</c:v>
                </c:pt>
                <c:pt idx="57">
                  <c:v>148103.28571428571</c:v>
                </c:pt>
                <c:pt idx="58">
                  <c:v>142135.57142857142</c:v>
                </c:pt>
                <c:pt idx="59">
                  <c:v>139524.85714285713</c:v>
                </c:pt>
                <c:pt idx="60">
                  <c:v>141823.57142857142</c:v>
                </c:pt>
                <c:pt idx="61">
                  <c:v>142930.42857142858</c:v>
                </c:pt>
                <c:pt idx="62">
                  <c:v>146677.42857142858</c:v>
                </c:pt>
                <c:pt idx="63">
                  <c:v>148764</c:v>
                </c:pt>
                <c:pt idx="64">
                  <c:v>150847.28571428571</c:v>
                </c:pt>
                <c:pt idx="65">
                  <c:v>151937.71428571429</c:v>
                </c:pt>
                <c:pt idx="66">
                  <c:v>154121.71428571429</c:v>
                </c:pt>
                <c:pt idx="67">
                  <c:v>153723.71428571429</c:v>
                </c:pt>
                <c:pt idx="68">
                  <c:v>159521.85714285713</c:v>
                </c:pt>
                <c:pt idx="69">
                  <c:v>158146.71428571429</c:v>
                </c:pt>
                <c:pt idx="70">
                  <c:v>157862.85714285713</c:v>
                </c:pt>
                <c:pt idx="71">
                  <c:v>156685.57142857142</c:v>
                </c:pt>
                <c:pt idx="72">
                  <c:v>157190.57142857142</c:v>
                </c:pt>
                <c:pt idx="73">
                  <c:v>151831.14285714287</c:v>
                </c:pt>
                <c:pt idx="74">
                  <c:v>144173.42857142858</c:v>
                </c:pt>
                <c:pt idx="75">
                  <c:v>134873.14285714287</c:v>
                </c:pt>
                <c:pt idx="76">
                  <c:v>133462.85714285713</c:v>
                </c:pt>
                <c:pt idx="77">
                  <c:v>135740.28571428571</c:v>
                </c:pt>
                <c:pt idx="78">
                  <c:v>137016.42857142858</c:v>
                </c:pt>
                <c:pt idx="79">
                  <c:v>136905.57142857142</c:v>
                </c:pt>
                <c:pt idx="80">
                  <c:v>129512.14285714286</c:v>
                </c:pt>
                <c:pt idx="81">
                  <c:v>125562.14285714286</c:v>
                </c:pt>
                <c:pt idx="82">
                  <c:v>122868.85714285714</c:v>
                </c:pt>
                <c:pt idx="83">
                  <c:v>121874.42857142857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665536"/>
        <c:axId val="609333184"/>
      </c:lineChart>
      <c:catAx>
        <c:axId val="71366553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</a:ln>
          </c:spPr>
        </c:minorGridlines>
        <c:numFmt formatCode="m/d/yyyy" sourceLinked="0"/>
        <c:majorTickMark val="none"/>
        <c:minorTickMark val="none"/>
        <c:tickLblPos val="nextTo"/>
        <c:spPr>
          <a:ln>
            <a:solidFill>
              <a:schemeClr val="tx1">
                <a:lumMod val="95000"/>
                <a:lumOff val="5000"/>
                <a:alpha val="25000"/>
              </a:schemeClr>
            </a:solidFill>
          </a:ln>
        </c:spPr>
        <c:txPr>
          <a:bodyPr rot="1800000" anchor="ctr" anchorCtr="0"/>
          <a:lstStyle/>
          <a:p>
            <a:pPr>
              <a:defRPr sz="600"/>
            </a:pPr>
            <a:endParaRPr lang="pl-PL"/>
          </a:p>
        </c:txPr>
        <c:crossAx val="609333184"/>
        <c:crosses val="autoZero"/>
        <c:auto val="0"/>
        <c:lblAlgn val="ctr"/>
        <c:lblOffset val="150"/>
        <c:tickLblSkip val="7"/>
        <c:tickMarkSkip val="1"/>
        <c:noMultiLvlLbl val="0"/>
      </c:catAx>
      <c:valAx>
        <c:axId val="6093331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25000"/>
                </a:schemeClr>
              </a:solidFill>
            </a:ln>
            <a:effectLst/>
          </c:spPr>
        </c:majorGridlines>
        <c:minorGridlines>
          <c:spPr>
            <a:ln w="6350">
              <a:solidFill>
                <a:schemeClr val="bg1">
                  <a:lumMod val="95000"/>
                </a:schemeClr>
              </a:solidFill>
            </a:ln>
          </c:spPr>
        </c:minorGridlines>
        <c:numFmt formatCode="0" sourceLinked="1"/>
        <c:majorTickMark val="none"/>
        <c:minorTickMark val="none"/>
        <c:tickLblPos val="nextTo"/>
        <c:spPr>
          <a:ln>
            <a:solidFill>
              <a:schemeClr val="tx1">
                <a:lumMod val="95000"/>
                <a:lumOff val="5000"/>
                <a:alpha val="25000"/>
              </a:schemeClr>
            </a:solidFill>
          </a:ln>
        </c:spPr>
        <c:txPr>
          <a:bodyPr/>
          <a:lstStyle/>
          <a:p>
            <a:pPr>
              <a:defRPr sz="600"/>
            </a:pPr>
            <a:endParaRPr lang="pl-PL"/>
          </a:p>
        </c:txPr>
        <c:crossAx val="713665536"/>
        <c:crosses val="autoZero"/>
        <c:crossBetween val="between"/>
      </c:valAx>
      <c:spPr>
        <a:blipFill>
          <a:blip xmlns:r="http://schemas.openxmlformats.org/officeDocument/2006/relationships" r:embed="rId1">
            <a:alphaModFix amt="10000"/>
          </a:blip>
          <a:stretch>
            <a:fillRect l="10000" r="10000"/>
          </a:stretch>
        </a:blipFill>
        <a:effectLst/>
      </c:spPr>
    </c:plotArea>
    <c:legend>
      <c:legendPos val="r"/>
      <c:layout>
        <c:manualLayout>
          <c:xMode val="edge"/>
          <c:yMode val="edge"/>
          <c:x val="0.84614533432573757"/>
          <c:y val="2.8481452773578542E-2"/>
          <c:w val="0.15385461311007009"/>
          <c:h val="0.1318938543158322"/>
        </c:manualLayout>
      </c:layout>
      <c:overlay val="0"/>
      <c:txPr>
        <a:bodyPr/>
        <a:lstStyle/>
        <a:p>
          <a:pPr>
            <a:defRPr sz="700"/>
          </a:pPr>
          <a:endParaRPr lang="pl-PL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Verdana" pitchFamily="34" charset="0"/>
          <a:ea typeface="Verdana" pitchFamily="34" charset="0"/>
          <a:cs typeface="Verdana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665044724487868E-2"/>
          <c:y val="3.2214199290365231E-2"/>
          <c:w val="0.78760516767997379"/>
          <c:h val="0.77303839854152923"/>
        </c:manualLayout>
      </c:layout>
      <c:lineChart>
        <c:grouping val="standard"/>
        <c:varyColors val="0"/>
        <c:ser>
          <c:idx val="2"/>
          <c:order val="0"/>
          <c:tx>
            <c:strRef>
              <c:f>Dane!$AA$3</c:f>
              <c:strCache>
                <c:ptCount val="1"/>
                <c:pt idx="0">
                  <c:v>Aleppo</c:v>
                </c:pt>
              </c:strCache>
            </c:strRef>
          </c:tx>
          <c:spPr>
            <a:ln w="12700">
              <a:solidFill>
                <a:srgbClr val="C0000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Dane!$AA$4:$AA$87</c:f>
              <c:numCache>
                <c:formatCode>0</c:formatCode>
                <c:ptCount val="84"/>
                <c:pt idx="0">
                  <c:v>788</c:v>
                </c:pt>
                <c:pt idx="1">
                  <c:v>7553</c:v>
                </c:pt>
                <c:pt idx="2">
                  <c:v>9087</c:v>
                </c:pt>
                <c:pt idx="3">
                  <c:v>16243</c:v>
                </c:pt>
                <c:pt idx="4">
                  <c:v>9018</c:v>
                </c:pt>
                <c:pt idx="5">
                  <c:v>5779</c:v>
                </c:pt>
                <c:pt idx="6">
                  <c:v>5614</c:v>
                </c:pt>
                <c:pt idx="7">
                  <c:v>8779</c:v>
                </c:pt>
                <c:pt idx="8">
                  <c:v>6920</c:v>
                </c:pt>
                <c:pt idx="9">
                  <c:v>5697</c:v>
                </c:pt>
                <c:pt idx="10">
                  <c:v>7123</c:v>
                </c:pt>
                <c:pt idx="11">
                  <c:v>11831</c:v>
                </c:pt>
                <c:pt idx="12">
                  <c:v>7493</c:v>
                </c:pt>
                <c:pt idx="13">
                  <c:v>6788</c:v>
                </c:pt>
                <c:pt idx="14">
                  <c:v>9817</c:v>
                </c:pt>
                <c:pt idx="15">
                  <c:v>5859</c:v>
                </c:pt>
                <c:pt idx="16">
                  <c:v>7219</c:v>
                </c:pt>
                <c:pt idx="17">
                  <c:v>12594</c:v>
                </c:pt>
                <c:pt idx="18">
                  <c:v>10397</c:v>
                </c:pt>
                <c:pt idx="19">
                  <c:v>6538</c:v>
                </c:pt>
                <c:pt idx="20">
                  <c:v>9525</c:v>
                </c:pt>
                <c:pt idx="21">
                  <c:v>6700</c:v>
                </c:pt>
                <c:pt idx="22">
                  <c:v>6718</c:v>
                </c:pt>
                <c:pt idx="23">
                  <c:v>7302</c:v>
                </c:pt>
                <c:pt idx="24">
                  <c:v>6794</c:v>
                </c:pt>
                <c:pt idx="25">
                  <c:v>4917</c:v>
                </c:pt>
                <c:pt idx="26">
                  <c:v>8816</c:v>
                </c:pt>
                <c:pt idx="27">
                  <c:v>7240</c:v>
                </c:pt>
                <c:pt idx="28">
                  <c:v>7001</c:v>
                </c:pt>
                <c:pt idx="29">
                  <c:v>5387</c:v>
                </c:pt>
                <c:pt idx="30">
                  <c:v>6140</c:v>
                </c:pt>
                <c:pt idx="31">
                  <c:v>7768</c:v>
                </c:pt>
                <c:pt idx="32">
                  <c:v>12968</c:v>
                </c:pt>
                <c:pt idx="33">
                  <c:v>8006</c:v>
                </c:pt>
                <c:pt idx="34">
                  <c:v>7735</c:v>
                </c:pt>
                <c:pt idx="35">
                  <c:v>4923</c:v>
                </c:pt>
                <c:pt idx="36">
                  <c:v>6674</c:v>
                </c:pt>
                <c:pt idx="37">
                  <c:v>7296</c:v>
                </c:pt>
                <c:pt idx="38">
                  <c:v>11173</c:v>
                </c:pt>
                <c:pt idx="39">
                  <c:v>7242</c:v>
                </c:pt>
                <c:pt idx="40">
                  <c:v>3569</c:v>
                </c:pt>
                <c:pt idx="41">
                  <c:v>6637</c:v>
                </c:pt>
                <c:pt idx="42">
                  <c:v>8320</c:v>
                </c:pt>
                <c:pt idx="43">
                  <c:v>5849</c:v>
                </c:pt>
                <c:pt idx="44">
                  <c:v>7906</c:v>
                </c:pt>
                <c:pt idx="45">
                  <c:v>7306</c:v>
                </c:pt>
                <c:pt idx="46">
                  <c:v>10687</c:v>
                </c:pt>
                <c:pt idx="47">
                  <c:v>8195</c:v>
                </c:pt>
                <c:pt idx="48">
                  <c:v>7770</c:v>
                </c:pt>
                <c:pt idx="49">
                  <c:v>8159</c:v>
                </c:pt>
                <c:pt idx="50">
                  <c:v>15067</c:v>
                </c:pt>
                <c:pt idx="51">
                  <c:v>16504</c:v>
                </c:pt>
                <c:pt idx="52">
                  <c:v>52842</c:v>
                </c:pt>
                <c:pt idx="53">
                  <c:v>49158</c:v>
                </c:pt>
                <c:pt idx="54">
                  <c:v>32357</c:v>
                </c:pt>
                <c:pt idx="55">
                  <c:v>31004</c:v>
                </c:pt>
                <c:pt idx="56">
                  <c:v>40554</c:v>
                </c:pt>
                <c:pt idx="57">
                  <c:v>36488</c:v>
                </c:pt>
                <c:pt idx="58">
                  <c:v>43619</c:v>
                </c:pt>
                <c:pt idx="59">
                  <c:v>99960</c:v>
                </c:pt>
                <c:pt idx="60">
                  <c:v>103763</c:v>
                </c:pt>
                <c:pt idx="61">
                  <c:v>69874</c:v>
                </c:pt>
                <c:pt idx="62">
                  <c:v>71425</c:v>
                </c:pt>
                <c:pt idx="63">
                  <c:v>69862</c:v>
                </c:pt>
                <c:pt idx="64">
                  <c:v>49901</c:v>
                </c:pt>
                <c:pt idx="65">
                  <c:v>36741</c:v>
                </c:pt>
                <c:pt idx="66">
                  <c:v>86124</c:v>
                </c:pt>
                <c:pt idx="67">
                  <c:v>78952</c:v>
                </c:pt>
                <c:pt idx="68">
                  <c:v>59822</c:v>
                </c:pt>
                <c:pt idx="69">
                  <c:v>53279</c:v>
                </c:pt>
                <c:pt idx="70">
                  <c:v>61541</c:v>
                </c:pt>
                <c:pt idx="71">
                  <c:v>61144</c:v>
                </c:pt>
                <c:pt idx="72">
                  <c:v>51449</c:v>
                </c:pt>
                <c:pt idx="73">
                  <c:v>39485</c:v>
                </c:pt>
                <c:pt idx="74">
                  <c:v>31338</c:v>
                </c:pt>
                <c:pt idx="75">
                  <c:v>24895</c:v>
                </c:pt>
                <c:pt idx="76">
                  <c:v>27212</c:v>
                </c:pt>
                <c:pt idx="77">
                  <c:v>56703</c:v>
                </c:pt>
                <c:pt idx="78">
                  <c:v>44568</c:v>
                </c:pt>
                <c:pt idx="79">
                  <c:v>34736</c:v>
                </c:pt>
                <c:pt idx="80">
                  <c:v>26297</c:v>
                </c:pt>
                <c:pt idx="81">
                  <c:v>29216</c:v>
                </c:pt>
                <c:pt idx="82">
                  <c:v>22775</c:v>
                </c:pt>
                <c:pt idx="83">
                  <c:v>32516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Dane!$AB$3</c:f>
              <c:strCache>
                <c:ptCount val="1"/>
                <c:pt idx="0">
                  <c:v>Hama</c:v>
                </c:pt>
              </c:strCache>
            </c:strRef>
          </c:tx>
          <c:spPr>
            <a:ln w="12700"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Dane!$AB$4:$AB$87</c:f>
              <c:numCache>
                <c:formatCode>0</c:formatCode>
                <c:ptCount val="84"/>
                <c:pt idx="0">
                  <c:v>5477</c:v>
                </c:pt>
                <c:pt idx="1">
                  <c:v>3236</c:v>
                </c:pt>
                <c:pt idx="2">
                  <c:v>3116</c:v>
                </c:pt>
                <c:pt idx="3">
                  <c:v>6512</c:v>
                </c:pt>
                <c:pt idx="4">
                  <c:v>5973</c:v>
                </c:pt>
                <c:pt idx="5">
                  <c:v>4012</c:v>
                </c:pt>
                <c:pt idx="6">
                  <c:v>3882</c:v>
                </c:pt>
                <c:pt idx="7">
                  <c:v>3754</c:v>
                </c:pt>
                <c:pt idx="8">
                  <c:v>3609</c:v>
                </c:pt>
                <c:pt idx="9">
                  <c:v>12977</c:v>
                </c:pt>
                <c:pt idx="10">
                  <c:v>5491</c:v>
                </c:pt>
                <c:pt idx="11">
                  <c:v>5890</c:v>
                </c:pt>
                <c:pt idx="12">
                  <c:v>4235</c:v>
                </c:pt>
                <c:pt idx="13">
                  <c:v>4713</c:v>
                </c:pt>
                <c:pt idx="14">
                  <c:v>3111</c:v>
                </c:pt>
                <c:pt idx="15">
                  <c:v>4214</c:v>
                </c:pt>
                <c:pt idx="16">
                  <c:v>3382</c:v>
                </c:pt>
                <c:pt idx="17">
                  <c:v>7721</c:v>
                </c:pt>
                <c:pt idx="18">
                  <c:v>5128</c:v>
                </c:pt>
                <c:pt idx="19">
                  <c:v>3478</c:v>
                </c:pt>
                <c:pt idx="20">
                  <c:v>5098</c:v>
                </c:pt>
                <c:pt idx="21">
                  <c:v>7880</c:v>
                </c:pt>
                <c:pt idx="22">
                  <c:v>7297</c:v>
                </c:pt>
                <c:pt idx="23">
                  <c:v>5024</c:v>
                </c:pt>
                <c:pt idx="24">
                  <c:v>2966</c:v>
                </c:pt>
                <c:pt idx="25">
                  <c:v>2554</c:v>
                </c:pt>
                <c:pt idx="26">
                  <c:v>3460</c:v>
                </c:pt>
                <c:pt idx="27">
                  <c:v>4050</c:v>
                </c:pt>
                <c:pt idx="28">
                  <c:v>3467</c:v>
                </c:pt>
                <c:pt idx="29">
                  <c:v>3670</c:v>
                </c:pt>
                <c:pt idx="30">
                  <c:v>4605</c:v>
                </c:pt>
                <c:pt idx="31">
                  <c:v>5077</c:v>
                </c:pt>
                <c:pt idx="32">
                  <c:v>5300</c:v>
                </c:pt>
                <c:pt idx="33">
                  <c:v>3840</c:v>
                </c:pt>
                <c:pt idx="34">
                  <c:v>4398</c:v>
                </c:pt>
                <c:pt idx="35">
                  <c:v>3524</c:v>
                </c:pt>
                <c:pt idx="36">
                  <c:v>3259</c:v>
                </c:pt>
                <c:pt idx="37">
                  <c:v>4074</c:v>
                </c:pt>
                <c:pt idx="38">
                  <c:v>4154</c:v>
                </c:pt>
                <c:pt idx="39">
                  <c:v>5526</c:v>
                </c:pt>
                <c:pt idx="40">
                  <c:v>4091</c:v>
                </c:pt>
                <c:pt idx="41">
                  <c:v>4229</c:v>
                </c:pt>
                <c:pt idx="42">
                  <c:v>3802</c:v>
                </c:pt>
                <c:pt idx="43">
                  <c:v>3996</c:v>
                </c:pt>
                <c:pt idx="44">
                  <c:v>20958</c:v>
                </c:pt>
                <c:pt idx="45">
                  <c:v>7582</c:v>
                </c:pt>
                <c:pt idx="46">
                  <c:v>9648</c:v>
                </c:pt>
                <c:pt idx="47">
                  <c:v>7989</c:v>
                </c:pt>
                <c:pt idx="48">
                  <c:v>5380</c:v>
                </c:pt>
                <c:pt idx="49">
                  <c:v>4526</c:v>
                </c:pt>
                <c:pt idx="50">
                  <c:v>4686</c:v>
                </c:pt>
                <c:pt idx="51">
                  <c:v>5137</c:v>
                </c:pt>
                <c:pt idx="52">
                  <c:v>6607</c:v>
                </c:pt>
                <c:pt idx="53">
                  <c:v>5126</c:v>
                </c:pt>
                <c:pt idx="54">
                  <c:v>4058</c:v>
                </c:pt>
                <c:pt idx="55">
                  <c:v>5777</c:v>
                </c:pt>
                <c:pt idx="56">
                  <c:v>7225</c:v>
                </c:pt>
                <c:pt idx="57">
                  <c:v>4294</c:v>
                </c:pt>
                <c:pt idx="58">
                  <c:v>3571</c:v>
                </c:pt>
                <c:pt idx="59">
                  <c:v>5911</c:v>
                </c:pt>
                <c:pt idx="60">
                  <c:v>6758</c:v>
                </c:pt>
                <c:pt idx="61">
                  <c:v>5099</c:v>
                </c:pt>
                <c:pt idx="62">
                  <c:v>3991</c:v>
                </c:pt>
                <c:pt idx="63">
                  <c:v>4073</c:v>
                </c:pt>
                <c:pt idx="64">
                  <c:v>4156</c:v>
                </c:pt>
                <c:pt idx="65">
                  <c:v>8793</c:v>
                </c:pt>
                <c:pt idx="66">
                  <c:v>6529</c:v>
                </c:pt>
                <c:pt idx="67">
                  <c:v>8732</c:v>
                </c:pt>
                <c:pt idx="68">
                  <c:v>6411</c:v>
                </c:pt>
                <c:pt idx="69">
                  <c:v>3471</c:v>
                </c:pt>
                <c:pt idx="70">
                  <c:v>4495</c:v>
                </c:pt>
                <c:pt idx="71">
                  <c:v>3289</c:v>
                </c:pt>
                <c:pt idx="72">
                  <c:v>4382</c:v>
                </c:pt>
                <c:pt idx="73">
                  <c:v>4476</c:v>
                </c:pt>
                <c:pt idx="74">
                  <c:v>3087</c:v>
                </c:pt>
                <c:pt idx="75">
                  <c:v>2307</c:v>
                </c:pt>
                <c:pt idx="76">
                  <c:v>3750</c:v>
                </c:pt>
                <c:pt idx="77">
                  <c:v>3842</c:v>
                </c:pt>
                <c:pt idx="78">
                  <c:v>2830</c:v>
                </c:pt>
                <c:pt idx="79">
                  <c:v>3991</c:v>
                </c:pt>
                <c:pt idx="80">
                  <c:v>4488</c:v>
                </c:pt>
                <c:pt idx="81">
                  <c:v>3532</c:v>
                </c:pt>
                <c:pt idx="82">
                  <c:v>2594</c:v>
                </c:pt>
                <c:pt idx="83">
                  <c:v>2479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Dane!$AC$3</c:f>
              <c:strCache>
                <c:ptCount val="1"/>
                <c:pt idx="0">
                  <c:v>Homs</c:v>
                </c:pt>
              </c:strCache>
            </c:strRef>
          </c:tx>
          <c:spPr>
            <a:ln w="12700"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Dane!$AC$4:$AC$87</c:f>
              <c:numCache>
                <c:formatCode>0</c:formatCode>
                <c:ptCount val="84"/>
                <c:pt idx="0">
                  <c:v>10933</c:v>
                </c:pt>
                <c:pt idx="1">
                  <c:v>9784</c:v>
                </c:pt>
                <c:pt idx="2">
                  <c:v>8822</c:v>
                </c:pt>
                <c:pt idx="3">
                  <c:v>28546</c:v>
                </c:pt>
                <c:pt idx="4">
                  <c:v>23814</c:v>
                </c:pt>
                <c:pt idx="5">
                  <c:v>7055</c:v>
                </c:pt>
                <c:pt idx="6">
                  <c:v>7636</c:v>
                </c:pt>
                <c:pt idx="7">
                  <c:v>7091</c:v>
                </c:pt>
                <c:pt idx="8">
                  <c:v>6842</c:v>
                </c:pt>
                <c:pt idx="9">
                  <c:v>9216</c:v>
                </c:pt>
                <c:pt idx="10">
                  <c:v>51898</c:v>
                </c:pt>
                <c:pt idx="11">
                  <c:v>51910</c:v>
                </c:pt>
                <c:pt idx="12">
                  <c:v>12916</c:v>
                </c:pt>
                <c:pt idx="13">
                  <c:v>14724</c:v>
                </c:pt>
                <c:pt idx="14">
                  <c:v>10710</c:v>
                </c:pt>
                <c:pt idx="15">
                  <c:v>9283</c:v>
                </c:pt>
                <c:pt idx="16">
                  <c:v>9017</c:v>
                </c:pt>
                <c:pt idx="17">
                  <c:v>85077</c:v>
                </c:pt>
                <c:pt idx="18">
                  <c:v>68386</c:v>
                </c:pt>
                <c:pt idx="19">
                  <c:v>14383</c:v>
                </c:pt>
                <c:pt idx="20">
                  <c:v>11208</c:v>
                </c:pt>
                <c:pt idx="21">
                  <c:v>9965</c:v>
                </c:pt>
                <c:pt idx="22">
                  <c:v>11250</c:v>
                </c:pt>
                <c:pt idx="23">
                  <c:v>8852</c:v>
                </c:pt>
                <c:pt idx="24">
                  <c:v>7189</c:v>
                </c:pt>
                <c:pt idx="25">
                  <c:v>7042</c:v>
                </c:pt>
                <c:pt idx="26">
                  <c:v>8940</c:v>
                </c:pt>
                <c:pt idx="27">
                  <c:v>9098</c:v>
                </c:pt>
                <c:pt idx="28">
                  <c:v>8236</c:v>
                </c:pt>
                <c:pt idx="29">
                  <c:v>6829</c:v>
                </c:pt>
                <c:pt idx="30">
                  <c:v>8842</c:v>
                </c:pt>
                <c:pt idx="31">
                  <c:v>20977</c:v>
                </c:pt>
                <c:pt idx="32">
                  <c:v>26840</c:v>
                </c:pt>
                <c:pt idx="33">
                  <c:v>8893</c:v>
                </c:pt>
                <c:pt idx="34">
                  <c:v>8793</c:v>
                </c:pt>
                <c:pt idx="35">
                  <c:v>7671</c:v>
                </c:pt>
                <c:pt idx="36">
                  <c:v>7686</c:v>
                </c:pt>
                <c:pt idx="37">
                  <c:v>8718</c:v>
                </c:pt>
                <c:pt idx="38">
                  <c:v>17828</c:v>
                </c:pt>
                <c:pt idx="39">
                  <c:v>23816</c:v>
                </c:pt>
                <c:pt idx="40">
                  <c:v>8001</c:v>
                </c:pt>
                <c:pt idx="41">
                  <c:v>7481</c:v>
                </c:pt>
                <c:pt idx="42">
                  <c:v>7240</c:v>
                </c:pt>
                <c:pt idx="43">
                  <c:v>8127</c:v>
                </c:pt>
                <c:pt idx="44">
                  <c:v>8121</c:v>
                </c:pt>
                <c:pt idx="45">
                  <c:v>28417</c:v>
                </c:pt>
                <c:pt idx="46">
                  <c:v>22703</c:v>
                </c:pt>
                <c:pt idx="47">
                  <c:v>9122</c:v>
                </c:pt>
                <c:pt idx="48">
                  <c:v>9388</c:v>
                </c:pt>
                <c:pt idx="49">
                  <c:v>9891</c:v>
                </c:pt>
                <c:pt idx="50">
                  <c:v>6488</c:v>
                </c:pt>
                <c:pt idx="51">
                  <c:v>25985</c:v>
                </c:pt>
                <c:pt idx="52">
                  <c:v>27394</c:v>
                </c:pt>
                <c:pt idx="53">
                  <c:v>24467</c:v>
                </c:pt>
                <c:pt idx="54">
                  <c:v>19942</c:v>
                </c:pt>
                <c:pt idx="55">
                  <c:v>22614</c:v>
                </c:pt>
                <c:pt idx="56">
                  <c:v>25198</c:v>
                </c:pt>
                <c:pt idx="57">
                  <c:v>21060</c:v>
                </c:pt>
                <c:pt idx="58">
                  <c:v>13485</c:v>
                </c:pt>
                <c:pt idx="59">
                  <c:v>30291</c:v>
                </c:pt>
                <c:pt idx="60">
                  <c:v>25865</c:v>
                </c:pt>
                <c:pt idx="61">
                  <c:v>19757</c:v>
                </c:pt>
                <c:pt idx="62">
                  <c:v>19933</c:v>
                </c:pt>
                <c:pt idx="63">
                  <c:v>25246</c:v>
                </c:pt>
                <c:pt idx="64">
                  <c:v>20857</c:v>
                </c:pt>
                <c:pt idx="65">
                  <c:v>16629</c:v>
                </c:pt>
                <c:pt idx="66">
                  <c:v>22222</c:v>
                </c:pt>
                <c:pt idx="67">
                  <c:v>33278</c:v>
                </c:pt>
                <c:pt idx="68">
                  <c:v>60948</c:v>
                </c:pt>
                <c:pt idx="69">
                  <c:v>22052</c:v>
                </c:pt>
                <c:pt idx="70">
                  <c:v>25335</c:v>
                </c:pt>
                <c:pt idx="71">
                  <c:v>15104</c:v>
                </c:pt>
                <c:pt idx="72">
                  <c:v>22493</c:v>
                </c:pt>
                <c:pt idx="73">
                  <c:v>62399</c:v>
                </c:pt>
                <c:pt idx="74">
                  <c:v>47473</c:v>
                </c:pt>
                <c:pt idx="75">
                  <c:v>42730</c:v>
                </c:pt>
                <c:pt idx="76">
                  <c:v>36462</c:v>
                </c:pt>
                <c:pt idx="77">
                  <c:v>28416</c:v>
                </c:pt>
                <c:pt idx="78">
                  <c:v>26849</c:v>
                </c:pt>
                <c:pt idx="79">
                  <c:v>21033</c:v>
                </c:pt>
                <c:pt idx="80">
                  <c:v>25356</c:v>
                </c:pt>
                <c:pt idx="81">
                  <c:v>21425</c:v>
                </c:pt>
                <c:pt idx="82">
                  <c:v>18490</c:v>
                </c:pt>
                <c:pt idx="83">
                  <c:v>15597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Dane!$AD$3</c:f>
              <c:strCache>
                <c:ptCount val="1"/>
                <c:pt idx="0">
                  <c:v>Dajr az-Zawr</c:v>
                </c:pt>
              </c:strCache>
            </c:strRef>
          </c:tx>
          <c:spPr>
            <a:ln w="12700"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Dane!$AD$4:$AD$87</c:f>
              <c:numCache>
                <c:formatCode>0</c:formatCode>
                <c:ptCount val="84"/>
                <c:pt idx="0">
                  <c:v>687</c:v>
                </c:pt>
                <c:pt idx="1">
                  <c:v>773</c:v>
                </c:pt>
                <c:pt idx="2">
                  <c:v>519</c:v>
                </c:pt>
                <c:pt idx="3">
                  <c:v>1106</c:v>
                </c:pt>
                <c:pt idx="4">
                  <c:v>1768</c:v>
                </c:pt>
                <c:pt idx="5">
                  <c:v>1132</c:v>
                </c:pt>
                <c:pt idx="6">
                  <c:v>502</c:v>
                </c:pt>
                <c:pt idx="7">
                  <c:v>568</c:v>
                </c:pt>
                <c:pt idx="8">
                  <c:v>642</c:v>
                </c:pt>
                <c:pt idx="9">
                  <c:v>430</c:v>
                </c:pt>
                <c:pt idx="10">
                  <c:v>995</c:v>
                </c:pt>
                <c:pt idx="11">
                  <c:v>956</c:v>
                </c:pt>
                <c:pt idx="12">
                  <c:v>598</c:v>
                </c:pt>
                <c:pt idx="13">
                  <c:v>921</c:v>
                </c:pt>
                <c:pt idx="14">
                  <c:v>1033</c:v>
                </c:pt>
                <c:pt idx="15">
                  <c:v>670</c:v>
                </c:pt>
                <c:pt idx="16">
                  <c:v>468</c:v>
                </c:pt>
                <c:pt idx="17">
                  <c:v>1162</c:v>
                </c:pt>
                <c:pt idx="18">
                  <c:v>2162</c:v>
                </c:pt>
                <c:pt idx="19">
                  <c:v>1587</c:v>
                </c:pt>
                <c:pt idx="20">
                  <c:v>655</c:v>
                </c:pt>
                <c:pt idx="21">
                  <c:v>635</c:v>
                </c:pt>
                <c:pt idx="22">
                  <c:v>748</c:v>
                </c:pt>
                <c:pt idx="23">
                  <c:v>504</c:v>
                </c:pt>
                <c:pt idx="24">
                  <c:v>2436</c:v>
                </c:pt>
                <c:pt idx="25">
                  <c:v>3482</c:v>
                </c:pt>
                <c:pt idx="26">
                  <c:v>4829</c:v>
                </c:pt>
                <c:pt idx="27">
                  <c:v>3759</c:v>
                </c:pt>
                <c:pt idx="28">
                  <c:v>3447</c:v>
                </c:pt>
                <c:pt idx="29">
                  <c:v>2498</c:v>
                </c:pt>
                <c:pt idx="30">
                  <c:v>3028</c:v>
                </c:pt>
                <c:pt idx="31">
                  <c:v>1458</c:v>
                </c:pt>
                <c:pt idx="32">
                  <c:v>1036</c:v>
                </c:pt>
                <c:pt idx="33">
                  <c:v>695</c:v>
                </c:pt>
                <c:pt idx="34">
                  <c:v>535</c:v>
                </c:pt>
                <c:pt idx="35">
                  <c:v>734</c:v>
                </c:pt>
                <c:pt idx="36">
                  <c:v>643</c:v>
                </c:pt>
                <c:pt idx="37">
                  <c:v>686</c:v>
                </c:pt>
                <c:pt idx="38">
                  <c:v>1193</c:v>
                </c:pt>
                <c:pt idx="39">
                  <c:v>1452</c:v>
                </c:pt>
                <c:pt idx="40">
                  <c:v>1056</c:v>
                </c:pt>
                <c:pt idx="41">
                  <c:v>752</c:v>
                </c:pt>
                <c:pt idx="42">
                  <c:v>800</c:v>
                </c:pt>
                <c:pt idx="43">
                  <c:v>404</c:v>
                </c:pt>
                <c:pt idx="44">
                  <c:v>585</c:v>
                </c:pt>
                <c:pt idx="45">
                  <c:v>847</c:v>
                </c:pt>
                <c:pt idx="46">
                  <c:v>1022</c:v>
                </c:pt>
                <c:pt idx="47">
                  <c:v>702</c:v>
                </c:pt>
                <c:pt idx="48">
                  <c:v>565</c:v>
                </c:pt>
                <c:pt idx="49">
                  <c:v>664</c:v>
                </c:pt>
                <c:pt idx="50">
                  <c:v>759</c:v>
                </c:pt>
                <c:pt idx="51">
                  <c:v>2486</c:v>
                </c:pt>
                <c:pt idx="52">
                  <c:v>2151</c:v>
                </c:pt>
                <c:pt idx="53">
                  <c:v>799</c:v>
                </c:pt>
                <c:pt idx="54">
                  <c:v>1721</c:v>
                </c:pt>
                <c:pt idx="55">
                  <c:v>1539</c:v>
                </c:pt>
                <c:pt idx="56">
                  <c:v>1753</c:v>
                </c:pt>
                <c:pt idx="57">
                  <c:v>2082</c:v>
                </c:pt>
                <c:pt idx="58">
                  <c:v>2082</c:v>
                </c:pt>
                <c:pt idx="59">
                  <c:v>1103</c:v>
                </c:pt>
                <c:pt idx="60">
                  <c:v>1533</c:v>
                </c:pt>
                <c:pt idx="61">
                  <c:v>4025</c:v>
                </c:pt>
                <c:pt idx="62">
                  <c:v>4237</c:v>
                </c:pt>
                <c:pt idx="63">
                  <c:v>3833</c:v>
                </c:pt>
                <c:pt idx="64">
                  <c:v>2654</c:v>
                </c:pt>
                <c:pt idx="65">
                  <c:v>3936</c:v>
                </c:pt>
                <c:pt idx="66">
                  <c:v>961</c:v>
                </c:pt>
                <c:pt idx="67">
                  <c:v>1515</c:v>
                </c:pt>
                <c:pt idx="68">
                  <c:v>2960</c:v>
                </c:pt>
                <c:pt idx="69">
                  <c:v>3055</c:v>
                </c:pt>
                <c:pt idx="70">
                  <c:v>2630</c:v>
                </c:pt>
                <c:pt idx="71">
                  <c:v>1818</c:v>
                </c:pt>
                <c:pt idx="72">
                  <c:v>1642</c:v>
                </c:pt>
                <c:pt idx="73">
                  <c:v>665</c:v>
                </c:pt>
                <c:pt idx="74">
                  <c:v>1559</c:v>
                </c:pt>
                <c:pt idx="75">
                  <c:v>2587</c:v>
                </c:pt>
                <c:pt idx="76">
                  <c:v>6548</c:v>
                </c:pt>
                <c:pt idx="77">
                  <c:v>620</c:v>
                </c:pt>
                <c:pt idx="78">
                  <c:v>1012</c:v>
                </c:pt>
                <c:pt idx="79">
                  <c:v>2140</c:v>
                </c:pt>
                <c:pt idx="80">
                  <c:v>2005</c:v>
                </c:pt>
                <c:pt idx="81">
                  <c:v>2707</c:v>
                </c:pt>
                <c:pt idx="82">
                  <c:v>1925</c:v>
                </c:pt>
                <c:pt idx="83">
                  <c:v>2530</c:v>
                </c:pt>
              </c:numCache>
            </c:numRef>
          </c:val>
          <c:smooth val="0"/>
        </c:ser>
        <c:ser>
          <c:idx val="6"/>
          <c:order val="4"/>
          <c:tx>
            <c:strRef>
              <c:f>Dane!$AE$3</c:f>
              <c:strCache>
                <c:ptCount val="1"/>
                <c:pt idx="0">
                  <c:v>Dara</c:v>
                </c:pt>
              </c:strCache>
            </c:strRef>
          </c:tx>
          <c:spPr>
            <a:ln w="12700">
              <a:solidFill>
                <a:srgbClr val="7030A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Dane!$AE$4:$AE$87</c:f>
              <c:numCache>
                <c:formatCode>0</c:formatCode>
                <c:ptCount val="84"/>
                <c:pt idx="0">
                  <c:v>3452</c:v>
                </c:pt>
                <c:pt idx="1">
                  <c:v>4529</c:v>
                </c:pt>
                <c:pt idx="2">
                  <c:v>5069</c:v>
                </c:pt>
                <c:pt idx="3">
                  <c:v>5996</c:v>
                </c:pt>
                <c:pt idx="4">
                  <c:v>6302</c:v>
                </c:pt>
                <c:pt idx="5">
                  <c:v>4095</c:v>
                </c:pt>
                <c:pt idx="6">
                  <c:v>5748</c:v>
                </c:pt>
                <c:pt idx="7">
                  <c:v>4708</c:v>
                </c:pt>
                <c:pt idx="8">
                  <c:v>4563</c:v>
                </c:pt>
                <c:pt idx="9">
                  <c:v>11074</c:v>
                </c:pt>
                <c:pt idx="10">
                  <c:v>14506</c:v>
                </c:pt>
                <c:pt idx="11">
                  <c:v>8036</c:v>
                </c:pt>
                <c:pt idx="12">
                  <c:v>5463</c:v>
                </c:pt>
                <c:pt idx="13">
                  <c:v>4870</c:v>
                </c:pt>
                <c:pt idx="14">
                  <c:v>6448</c:v>
                </c:pt>
                <c:pt idx="15">
                  <c:v>7352</c:v>
                </c:pt>
                <c:pt idx="16">
                  <c:v>5601</c:v>
                </c:pt>
                <c:pt idx="17">
                  <c:v>5855</c:v>
                </c:pt>
                <c:pt idx="18">
                  <c:v>5642</c:v>
                </c:pt>
                <c:pt idx="19">
                  <c:v>3800</c:v>
                </c:pt>
                <c:pt idx="20">
                  <c:v>4772</c:v>
                </c:pt>
                <c:pt idx="21">
                  <c:v>5177</c:v>
                </c:pt>
                <c:pt idx="22">
                  <c:v>6882</c:v>
                </c:pt>
                <c:pt idx="23">
                  <c:v>7132</c:v>
                </c:pt>
                <c:pt idx="24">
                  <c:v>2688</c:v>
                </c:pt>
                <c:pt idx="25">
                  <c:v>2856</c:v>
                </c:pt>
                <c:pt idx="26">
                  <c:v>6011</c:v>
                </c:pt>
                <c:pt idx="27">
                  <c:v>10169</c:v>
                </c:pt>
                <c:pt idx="28">
                  <c:v>7101</c:v>
                </c:pt>
                <c:pt idx="29">
                  <c:v>5679</c:v>
                </c:pt>
                <c:pt idx="30">
                  <c:v>7905</c:v>
                </c:pt>
                <c:pt idx="31">
                  <c:v>9955</c:v>
                </c:pt>
                <c:pt idx="32">
                  <c:v>6893</c:v>
                </c:pt>
                <c:pt idx="33">
                  <c:v>5261</c:v>
                </c:pt>
                <c:pt idx="34">
                  <c:v>4850</c:v>
                </c:pt>
                <c:pt idx="35">
                  <c:v>5625</c:v>
                </c:pt>
                <c:pt idx="36">
                  <c:v>5409</c:v>
                </c:pt>
                <c:pt idx="37">
                  <c:v>5723</c:v>
                </c:pt>
                <c:pt idx="38">
                  <c:v>8248</c:v>
                </c:pt>
                <c:pt idx="39">
                  <c:v>9113</c:v>
                </c:pt>
                <c:pt idx="40">
                  <c:v>6298</c:v>
                </c:pt>
                <c:pt idx="41">
                  <c:v>5405</c:v>
                </c:pt>
                <c:pt idx="42">
                  <c:v>5566</c:v>
                </c:pt>
                <c:pt idx="43">
                  <c:v>5389</c:v>
                </c:pt>
                <c:pt idx="44">
                  <c:v>5747</c:v>
                </c:pt>
                <c:pt idx="45">
                  <c:v>5569</c:v>
                </c:pt>
                <c:pt idx="46">
                  <c:v>10508</c:v>
                </c:pt>
                <c:pt idx="47">
                  <c:v>6853</c:v>
                </c:pt>
                <c:pt idx="48">
                  <c:v>4581</c:v>
                </c:pt>
                <c:pt idx="49">
                  <c:v>6279</c:v>
                </c:pt>
                <c:pt idx="50">
                  <c:v>4244</c:v>
                </c:pt>
                <c:pt idx="51">
                  <c:v>6961</c:v>
                </c:pt>
                <c:pt idx="52">
                  <c:v>11091</c:v>
                </c:pt>
                <c:pt idx="53">
                  <c:v>9611</c:v>
                </c:pt>
                <c:pt idx="54">
                  <c:v>6511</c:v>
                </c:pt>
                <c:pt idx="55">
                  <c:v>7939</c:v>
                </c:pt>
                <c:pt idx="56">
                  <c:v>9716</c:v>
                </c:pt>
                <c:pt idx="57">
                  <c:v>6978</c:v>
                </c:pt>
                <c:pt idx="58">
                  <c:v>8279</c:v>
                </c:pt>
                <c:pt idx="59">
                  <c:v>10581</c:v>
                </c:pt>
                <c:pt idx="60">
                  <c:v>12360</c:v>
                </c:pt>
                <c:pt idx="61">
                  <c:v>9145</c:v>
                </c:pt>
                <c:pt idx="62">
                  <c:v>8624</c:v>
                </c:pt>
                <c:pt idx="63">
                  <c:v>5860</c:v>
                </c:pt>
                <c:pt idx="64">
                  <c:v>5295</c:v>
                </c:pt>
                <c:pt idx="65">
                  <c:v>6693</c:v>
                </c:pt>
                <c:pt idx="66">
                  <c:v>6564</c:v>
                </c:pt>
                <c:pt idx="67">
                  <c:v>9017</c:v>
                </c:pt>
                <c:pt idx="68">
                  <c:v>6663</c:v>
                </c:pt>
                <c:pt idx="69">
                  <c:v>4837</c:v>
                </c:pt>
                <c:pt idx="70">
                  <c:v>7622</c:v>
                </c:pt>
                <c:pt idx="71">
                  <c:v>5554</c:v>
                </c:pt>
                <c:pt idx="72">
                  <c:v>4914</c:v>
                </c:pt>
                <c:pt idx="73">
                  <c:v>12386</c:v>
                </c:pt>
                <c:pt idx="74">
                  <c:v>10502</c:v>
                </c:pt>
                <c:pt idx="75">
                  <c:v>8025</c:v>
                </c:pt>
                <c:pt idx="76">
                  <c:v>6144</c:v>
                </c:pt>
                <c:pt idx="77">
                  <c:v>6811</c:v>
                </c:pt>
                <c:pt idx="78">
                  <c:v>4602</c:v>
                </c:pt>
                <c:pt idx="79">
                  <c:v>5907</c:v>
                </c:pt>
                <c:pt idx="80">
                  <c:v>9131</c:v>
                </c:pt>
                <c:pt idx="81">
                  <c:v>13121</c:v>
                </c:pt>
                <c:pt idx="82">
                  <c:v>9703</c:v>
                </c:pt>
                <c:pt idx="83">
                  <c:v>7554</c:v>
                </c:pt>
              </c:numCache>
            </c:numRef>
          </c:val>
          <c:smooth val="0"/>
        </c:ser>
        <c:ser>
          <c:idx val="7"/>
          <c:order val="5"/>
          <c:tx>
            <c:strRef>
              <c:f>Dane!$AF$3</c:f>
              <c:strCache>
                <c:ptCount val="1"/>
                <c:pt idx="0">
                  <c:v>Hasaka</c:v>
                </c:pt>
              </c:strCache>
            </c:strRef>
          </c:tx>
          <c:spPr>
            <a:ln w="127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Dane!$AF$4:$AF$87</c:f>
              <c:numCache>
                <c:formatCode>0</c:formatCode>
                <c:ptCount val="84"/>
                <c:pt idx="0">
                  <c:v>285</c:v>
                </c:pt>
                <c:pt idx="1">
                  <c:v>289</c:v>
                </c:pt>
                <c:pt idx="2">
                  <c:v>361</c:v>
                </c:pt>
                <c:pt idx="3">
                  <c:v>342</c:v>
                </c:pt>
                <c:pt idx="4">
                  <c:v>312</c:v>
                </c:pt>
                <c:pt idx="5">
                  <c:v>199</c:v>
                </c:pt>
                <c:pt idx="6">
                  <c:v>187</c:v>
                </c:pt>
                <c:pt idx="7">
                  <c:v>239</c:v>
                </c:pt>
                <c:pt idx="8">
                  <c:v>193</c:v>
                </c:pt>
                <c:pt idx="9">
                  <c:v>346</c:v>
                </c:pt>
                <c:pt idx="10">
                  <c:v>601</c:v>
                </c:pt>
                <c:pt idx="11">
                  <c:v>275</c:v>
                </c:pt>
                <c:pt idx="12">
                  <c:v>174</c:v>
                </c:pt>
                <c:pt idx="13">
                  <c:v>210</c:v>
                </c:pt>
                <c:pt idx="14">
                  <c:v>195</c:v>
                </c:pt>
                <c:pt idx="15">
                  <c:v>176</c:v>
                </c:pt>
                <c:pt idx="16">
                  <c:v>413</c:v>
                </c:pt>
                <c:pt idx="17">
                  <c:v>385</c:v>
                </c:pt>
                <c:pt idx="18">
                  <c:v>159</c:v>
                </c:pt>
                <c:pt idx="19">
                  <c:v>67</c:v>
                </c:pt>
                <c:pt idx="20">
                  <c:v>256</c:v>
                </c:pt>
                <c:pt idx="21">
                  <c:v>210</c:v>
                </c:pt>
                <c:pt idx="22">
                  <c:v>150</c:v>
                </c:pt>
                <c:pt idx="23">
                  <c:v>333</c:v>
                </c:pt>
                <c:pt idx="24">
                  <c:v>262</c:v>
                </c:pt>
                <c:pt idx="25">
                  <c:v>188</c:v>
                </c:pt>
                <c:pt idx="26">
                  <c:v>311</c:v>
                </c:pt>
                <c:pt idx="27">
                  <c:v>327</c:v>
                </c:pt>
                <c:pt idx="28">
                  <c:v>282</c:v>
                </c:pt>
                <c:pt idx="29">
                  <c:v>130</c:v>
                </c:pt>
                <c:pt idx="30">
                  <c:v>281</c:v>
                </c:pt>
                <c:pt idx="31">
                  <c:v>660</c:v>
                </c:pt>
                <c:pt idx="32">
                  <c:v>467</c:v>
                </c:pt>
                <c:pt idx="33">
                  <c:v>281</c:v>
                </c:pt>
                <c:pt idx="34">
                  <c:v>526</c:v>
                </c:pt>
                <c:pt idx="35">
                  <c:v>282</c:v>
                </c:pt>
                <c:pt idx="36">
                  <c:v>230</c:v>
                </c:pt>
                <c:pt idx="37">
                  <c:v>254</c:v>
                </c:pt>
                <c:pt idx="38">
                  <c:v>406</c:v>
                </c:pt>
                <c:pt idx="39">
                  <c:v>249</c:v>
                </c:pt>
                <c:pt idx="40">
                  <c:v>160</c:v>
                </c:pt>
                <c:pt idx="41">
                  <c:v>128</c:v>
                </c:pt>
                <c:pt idx="42">
                  <c:v>204</c:v>
                </c:pt>
                <c:pt idx="43">
                  <c:v>302</c:v>
                </c:pt>
                <c:pt idx="44">
                  <c:v>345</c:v>
                </c:pt>
                <c:pt idx="45">
                  <c:v>345</c:v>
                </c:pt>
                <c:pt idx="46">
                  <c:v>922</c:v>
                </c:pt>
                <c:pt idx="47">
                  <c:v>719</c:v>
                </c:pt>
                <c:pt idx="48">
                  <c:v>223</c:v>
                </c:pt>
                <c:pt idx="49">
                  <c:v>571</c:v>
                </c:pt>
                <c:pt idx="50">
                  <c:v>308</c:v>
                </c:pt>
                <c:pt idx="51">
                  <c:v>420</c:v>
                </c:pt>
                <c:pt idx="52">
                  <c:v>2816</c:v>
                </c:pt>
                <c:pt idx="53">
                  <c:v>1019</c:v>
                </c:pt>
                <c:pt idx="54">
                  <c:v>1038</c:v>
                </c:pt>
                <c:pt idx="55">
                  <c:v>403</c:v>
                </c:pt>
                <c:pt idx="56">
                  <c:v>608</c:v>
                </c:pt>
                <c:pt idx="57">
                  <c:v>633</c:v>
                </c:pt>
                <c:pt idx="58">
                  <c:v>241</c:v>
                </c:pt>
                <c:pt idx="59">
                  <c:v>262</c:v>
                </c:pt>
                <c:pt idx="60">
                  <c:v>557</c:v>
                </c:pt>
                <c:pt idx="61">
                  <c:v>322</c:v>
                </c:pt>
                <c:pt idx="62">
                  <c:v>771</c:v>
                </c:pt>
                <c:pt idx="63">
                  <c:v>293</c:v>
                </c:pt>
                <c:pt idx="64">
                  <c:v>437</c:v>
                </c:pt>
                <c:pt idx="65">
                  <c:v>137</c:v>
                </c:pt>
                <c:pt idx="66">
                  <c:v>163</c:v>
                </c:pt>
                <c:pt idx="67">
                  <c:v>740</c:v>
                </c:pt>
                <c:pt idx="68">
                  <c:v>446</c:v>
                </c:pt>
                <c:pt idx="69">
                  <c:v>709</c:v>
                </c:pt>
                <c:pt idx="70">
                  <c:v>637</c:v>
                </c:pt>
                <c:pt idx="71">
                  <c:v>816</c:v>
                </c:pt>
                <c:pt idx="72">
                  <c:v>1058</c:v>
                </c:pt>
                <c:pt idx="73">
                  <c:v>317</c:v>
                </c:pt>
                <c:pt idx="74">
                  <c:v>513</c:v>
                </c:pt>
                <c:pt idx="75">
                  <c:v>390</c:v>
                </c:pt>
                <c:pt idx="76">
                  <c:v>180</c:v>
                </c:pt>
                <c:pt idx="77">
                  <c:v>347</c:v>
                </c:pt>
                <c:pt idx="78">
                  <c:v>247</c:v>
                </c:pt>
                <c:pt idx="79">
                  <c:v>350</c:v>
                </c:pt>
                <c:pt idx="80">
                  <c:v>398</c:v>
                </c:pt>
                <c:pt idx="81">
                  <c:v>279</c:v>
                </c:pt>
                <c:pt idx="82">
                  <c:v>166</c:v>
                </c:pt>
                <c:pt idx="83">
                  <c:v>126</c:v>
                </c:pt>
              </c:numCache>
            </c:numRef>
          </c:val>
          <c:smooth val="0"/>
        </c:ser>
        <c:ser>
          <c:idx val="8"/>
          <c:order val="6"/>
          <c:tx>
            <c:strRef>
              <c:f>Dane!$AG$3</c:f>
              <c:strCache>
                <c:ptCount val="1"/>
                <c:pt idx="0">
                  <c:v>Idlib</c:v>
                </c:pt>
              </c:strCache>
            </c:strRef>
          </c:tx>
          <c:spPr>
            <a:ln w="12700">
              <a:solidFill>
                <a:schemeClr val="tx2">
                  <a:lumMod val="20000"/>
                  <a:lumOff val="8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Dane!$AG$4:$AG$87</c:f>
              <c:numCache>
                <c:formatCode>0</c:formatCode>
                <c:ptCount val="84"/>
                <c:pt idx="0">
                  <c:v>1991</c:v>
                </c:pt>
                <c:pt idx="1">
                  <c:v>1306</c:v>
                </c:pt>
                <c:pt idx="2">
                  <c:v>1232</c:v>
                </c:pt>
                <c:pt idx="3">
                  <c:v>3195</c:v>
                </c:pt>
                <c:pt idx="4">
                  <c:v>3609</c:v>
                </c:pt>
                <c:pt idx="5">
                  <c:v>2322</c:v>
                </c:pt>
                <c:pt idx="6">
                  <c:v>2629</c:v>
                </c:pt>
                <c:pt idx="7">
                  <c:v>2282</c:v>
                </c:pt>
                <c:pt idx="8">
                  <c:v>2121</c:v>
                </c:pt>
                <c:pt idx="9">
                  <c:v>2256</c:v>
                </c:pt>
                <c:pt idx="10">
                  <c:v>3429</c:v>
                </c:pt>
                <c:pt idx="11">
                  <c:v>2757</c:v>
                </c:pt>
                <c:pt idx="12">
                  <c:v>1616</c:v>
                </c:pt>
                <c:pt idx="13">
                  <c:v>2309</c:v>
                </c:pt>
                <c:pt idx="14">
                  <c:v>1378</c:v>
                </c:pt>
                <c:pt idx="15">
                  <c:v>1822</c:v>
                </c:pt>
                <c:pt idx="16">
                  <c:v>1373</c:v>
                </c:pt>
                <c:pt idx="17">
                  <c:v>2384</c:v>
                </c:pt>
                <c:pt idx="18">
                  <c:v>1349</c:v>
                </c:pt>
                <c:pt idx="19">
                  <c:v>809</c:v>
                </c:pt>
                <c:pt idx="20">
                  <c:v>1552</c:v>
                </c:pt>
                <c:pt idx="21">
                  <c:v>1431</c:v>
                </c:pt>
                <c:pt idx="22">
                  <c:v>2023</c:v>
                </c:pt>
                <c:pt idx="23">
                  <c:v>2362</c:v>
                </c:pt>
                <c:pt idx="24">
                  <c:v>542</c:v>
                </c:pt>
                <c:pt idx="25">
                  <c:v>679</c:v>
                </c:pt>
                <c:pt idx="26">
                  <c:v>1835</c:v>
                </c:pt>
                <c:pt idx="27">
                  <c:v>3099</c:v>
                </c:pt>
                <c:pt idx="28">
                  <c:v>4298</c:v>
                </c:pt>
                <c:pt idx="29">
                  <c:v>2486</c:v>
                </c:pt>
                <c:pt idx="30">
                  <c:v>3084</c:v>
                </c:pt>
                <c:pt idx="31">
                  <c:v>2334</c:v>
                </c:pt>
                <c:pt idx="32">
                  <c:v>2003</c:v>
                </c:pt>
                <c:pt idx="33">
                  <c:v>1293</c:v>
                </c:pt>
                <c:pt idx="34">
                  <c:v>1957</c:v>
                </c:pt>
                <c:pt idx="35">
                  <c:v>3566</c:v>
                </c:pt>
                <c:pt idx="36">
                  <c:v>3199</c:v>
                </c:pt>
                <c:pt idx="37">
                  <c:v>2286</c:v>
                </c:pt>
                <c:pt idx="38">
                  <c:v>2789</c:v>
                </c:pt>
                <c:pt idx="39">
                  <c:v>2872</c:v>
                </c:pt>
                <c:pt idx="40">
                  <c:v>2208</c:v>
                </c:pt>
                <c:pt idx="41">
                  <c:v>1545</c:v>
                </c:pt>
                <c:pt idx="42">
                  <c:v>1814</c:v>
                </c:pt>
                <c:pt idx="43">
                  <c:v>1165</c:v>
                </c:pt>
                <c:pt idx="44">
                  <c:v>1502</c:v>
                </c:pt>
                <c:pt idx="45">
                  <c:v>1669</c:v>
                </c:pt>
                <c:pt idx="46">
                  <c:v>2513</c:v>
                </c:pt>
                <c:pt idx="47">
                  <c:v>1792</c:v>
                </c:pt>
                <c:pt idx="48">
                  <c:v>1457</c:v>
                </c:pt>
                <c:pt idx="49">
                  <c:v>1183</c:v>
                </c:pt>
                <c:pt idx="50">
                  <c:v>2090</c:v>
                </c:pt>
                <c:pt idx="51">
                  <c:v>2264</c:v>
                </c:pt>
                <c:pt idx="52">
                  <c:v>2871</c:v>
                </c:pt>
                <c:pt idx="53">
                  <c:v>2516</c:v>
                </c:pt>
                <c:pt idx="54">
                  <c:v>1676</c:v>
                </c:pt>
                <c:pt idx="55">
                  <c:v>2332</c:v>
                </c:pt>
                <c:pt idx="56">
                  <c:v>2631</c:v>
                </c:pt>
                <c:pt idx="57">
                  <c:v>2645</c:v>
                </c:pt>
                <c:pt idx="58">
                  <c:v>3417</c:v>
                </c:pt>
                <c:pt idx="59">
                  <c:v>4244</c:v>
                </c:pt>
                <c:pt idx="60">
                  <c:v>3109</c:v>
                </c:pt>
                <c:pt idx="61">
                  <c:v>2198</c:v>
                </c:pt>
                <c:pt idx="62">
                  <c:v>1721</c:v>
                </c:pt>
                <c:pt idx="63">
                  <c:v>1599</c:v>
                </c:pt>
                <c:pt idx="64">
                  <c:v>3196</c:v>
                </c:pt>
                <c:pt idx="65">
                  <c:v>3022</c:v>
                </c:pt>
                <c:pt idx="66">
                  <c:v>2837</c:v>
                </c:pt>
                <c:pt idx="67">
                  <c:v>3142</c:v>
                </c:pt>
                <c:pt idx="68">
                  <c:v>2270</c:v>
                </c:pt>
                <c:pt idx="69">
                  <c:v>4548</c:v>
                </c:pt>
                <c:pt idx="70">
                  <c:v>3006</c:v>
                </c:pt>
                <c:pt idx="71">
                  <c:v>3281</c:v>
                </c:pt>
                <c:pt idx="72">
                  <c:v>4399</c:v>
                </c:pt>
                <c:pt idx="73">
                  <c:v>4063</c:v>
                </c:pt>
                <c:pt idx="74">
                  <c:v>3080</c:v>
                </c:pt>
                <c:pt idx="75">
                  <c:v>2347</c:v>
                </c:pt>
                <c:pt idx="76">
                  <c:v>3590</c:v>
                </c:pt>
                <c:pt idx="77">
                  <c:v>4931</c:v>
                </c:pt>
                <c:pt idx="78">
                  <c:v>4757</c:v>
                </c:pt>
                <c:pt idx="79">
                  <c:v>3101</c:v>
                </c:pt>
                <c:pt idx="80">
                  <c:v>2343</c:v>
                </c:pt>
                <c:pt idx="81">
                  <c:v>1977</c:v>
                </c:pt>
                <c:pt idx="82">
                  <c:v>1524</c:v>
                </c:pt>
                <c:pt idx="83">
                  <c:v>2725</c:v>
                </c:pt>
              </c:numCache>
            </c:numRef>
          </c:val>
          <c:smooth val="0"/>
        </c:ser>
        <c:ser>
          <c:idx val="0"/>
          <c:order val="7"/>
          <c:tx>
            <c:strRef>
              <c:f>Dane!$AH$3</c:f>
              <c:strCache>
                <c:ptCount val="1"/>
                <c:pt idx="0">
                  <c:v>Latakia</c:v>
                </c:pt>
              </c:strCache>
            </c:strRef>
          </c:tx>
          <c:spPr>
            <a:ln w="12700"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Dane!$Y$4:$Y$87</c:f>
              <c:numCache>
                <c:formatCode>d/m/yyyy;@</c:formatCode>
                <c:ptCount val="84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41062</c:v>
                </c:pt>
                <c:pt idx="4">
                  <c:v>41063</c:v>
                </c:pt>
                <c:pt idx="5">
                  <c:v>41064</c:v>
                </c:pt>
                <c:pt idx="6">
                  <c:v>41065</c:v>
                </c:pt>
                <c:pt idx="7">
                  <c:v>41066</c:v>
                </c:pt>
                <c:pt idx="8">
                  <c:v>41067</c:v>
                </c:pt>
                <c:pt idx="9">
                  <c:v>41068</c:v>
                </c:pt>
                <c:pt idx="10">
                  <c:v>41069</c:v>
                </c:pt>
                <c:pt idx="11">
                  <c:v>41070</c:v>
                </c:pt>
                <c:pt idx="12">
                  <c:v>41071</c:v>
                </c:pt>
                <c:pt idx="13">
                  <c:v>41072</c:v>
                </c:pt>
                <c:pt idx="14">
                  <c:v>41073</c:v>
                </c:pt>
                <c:pt idx="15">
                  <c:v>41074</c:v>
                </c:pt>
                <c:pt idx="16">
                  <c:v>41075</c:v>
                </c:pt>
                <c:pt idx="17">
                  <c:v>41076</c:v>
                </c:pt>
                <c:pt idx="18">
                  <c:v>41077</c:v>
                </c:pt>
                <c:pt idx="19">
                  <c:v>41078</c:v>
                </c:pt>
                <c:pt idx="20">
                  <c:v>41079</c:v>
                </c:pt>
                <c:pt idx="21">
                  <c:v>41080</c:v>
                </c:pt>
                <c:pt idx="22">
                  <c:v>41081</c:v>
                </c:pt>
                <c:pt idx="23">
                  <c:v>41082</c:v>
                </c:pt>
                <c:pt idx="24">
                  <c:v>41083</c:v>
                </c:pt>
                <c:pt idx="25">
                  <c:v>41084</c:v>
                </c:pt>
                <c:pt idx="26">
                  <c:v>41085</c:v>
                </c:pt>
                <c:pt idx="27">
                  <c:v>41086</c:v>
                </c:pt>
                <c:pt idx="28">
                  <c:v>41087</c:v>
                </c:pt>
                <c:pt idx="29">
                  <c:v>41088</c:v>
                </c:pt>
                <c:pt idx="30">
                  <c:v>41089</c:v>
                </c:pt>
                <c:pt idx="31">
                  <c:v>41090</c:v>
                </c:pt>
                <c:pt idx="32">
                  <c:v>41091</c:v>
                </c:pt>
                <c:pt idx="33">
                  <c:v>41092</c:v>
                </c:pt>
                <c:pt idx="34">
                  <c:v>41093</c:v>
                </c:pt>
                <c:pt idx="35">
                  <c:v>41094</c:v>
                </c:pt>
                <c:pt idx="36">
                  <c:v>41095</c:v>
                </c:pt>
                <c:pt idx="37">
                  <c:v>41096</c:v>
                </c:pt>
                <c:pt idx="38">
                  <c:v>41097</c:v>
                </c:pt>
                <c:pt idx="39">
                  <c:v>41098</c:v>
                </c:pt>
                <c:pt idx="40">
                  <c:v>41099</c:v>
                </c:pt>
                <c:pt idx="41">
                  <c:v>41100</c:v>
                </c:pt>
                <c:pt idx="42">
                  <c:v>41101</c:v>
                </c:pt>
                <c:pt idx="43">
                  <c:v>41102</c:v>
                </c:pt>
                <c:pt idx="44">
                  <c:v>41103</c:v>
                </c:pt>
                <c:pt idx="45">
                  <c:v>41104</c:v>
                </c:pt>
                <c:pt idx="46">
                  <c:v>41105</c:v>
                </c:pt>
                <c:pt idx="47">
                  <c:v>41106</c:v>
                </c:pt>
                <c:pt idx="48">
                  <c:v>41107</c:v>
                </c:pt>
                <c:pt idx="49">
                  <c:v>41108</c:v>
                </c:pt>
                <c:pt idx="50">
                  <c:v>41109</c:v>
                </c:pt>
                <c:pt idx="51">
                  <c:v>41110</c:v>
                </c:pt>
                <c:pt idx="52">
                  <c:v>41111</c:v>
                </c:pt>
                <c:pt idx="53">
                  <c:v>41112</c:v>
                </c:pt>
                <c:pt idx="54">
                  <c:v>41113</c:v>
                </c:pt>
                <c:pt idx="55">
                  <c:v>41114</c:v>
                </c:pt>
                <c:pt idx="56">
                  <c:v>41115</c:v>
                </c:pt>
                <c:pt idx="57">
                  <c:v>41116</c:v>
                </c:pt>
                <c:pt idx="58">
                  <c:v>41117</c:v>
                </c:pt>
                <c:pt idx="59">
                  <c:v>41118</c:v>
                </c:pt>
                <c:pt idx="60">
                  <c:v>41119</c:v>
                </c:pt>
                <c:pt idx="61">
                  <c:v>41120</c:v>
                </c:pt>
                <c:pt idx="62">
                  <c:v>41121</c:v>
                </c:pt>
                <c:pt idx="63">
                  <c:v>41122</c:v>
                </c:pt>
                <c:pt idx="64">
                  <c:v>41123</c:v>
                </c:pt>
                <c:pt idx="65">
                  <c:v>41124</c:v>
                </c:pt>
                <c:pt idx="66">
                  <c:v>41125</c:v>
                </c:pt>
                <c:pt idx="67">
                  <c:v>41126</c:v>
                </c:pt>
                <c:pt idx="68">
                  <c:v>41127</c:v>
                </c:pt>
                <c:pt idx="69">
                  <c:v>41128</c:v>
                </c:pt>
                <c:pt idx="70">
                  <c:v>41129</c:v>
                </c:pt>
                <c:pt idx="71">
                  <c:v>41130</c:v>
                </c:pt>
                <c:pt idx="72">
                  <c:v>41131</c:v>
                </c:pt>
                <c:pt idx="73">
                  <c:v>41132</c:v>
                </c:pt>
                <c:pt idx="74">
                  <c:v>41133</c:v>
                </c:pt>
                <c:pt idx="75">
                  <c:v>41134</c:v>
                </c:pt>
                <c:pt idx="76">
                  <c:v>41135</c:v>
                </c:pt>
                <c:pt idx="77">
                  <c:v>41136</c:v>
                </c:pt>
                <c:pt idx="78">
                  <c:v>41137</c:v>
                </c:pt>
                <c:pt idx="79">
                  <c:v>41138</c:v>
                </c:pt>
                <c:pt idx="80">
                  <c:v>41139</c:v>
                </c:pt>
                <c:pt idx="81">
                  <c:v>41140</c:v>
                </c:pt>
                <c:pt idx="82">
                  <c:v>41141</c:v>
                </c:pt>
                <c:pt idx="83">
                  <c:v>41142</c:v>
                </c:pt>
              </c:numCache>
            </c:numRef>
          </c:cat>
          <c:val>
            <c:numRef>
              <c:f>Dane!$AH$4:$AH$87</c:f>
              <c:numCache>
                <c:formatCode>0</c:formatCode>
                <c:ptCount val="84"/>
                <c:pt idx="0">
                  <c:v>674</c:v>
                </c:pt>
                <c:pt idx="1">
                  <c:v>771</c:v>
                </c:pt>
                <c:pt idx="2">
                  <c:v>997</c:v>
                </c:pt>
                <c:pt idx="3">
                  <c:v>1011</c:v>
                </c:pt>
                <c:pt idx="4">
                  <c:v>755</c:v>
                </c:pt>
                <c:pt idx="5">
                  <c:v>547</c:v>
                </c:pt>
                <c:pt idx="6">
                  <c:v>1639</c:v>
                </c:pt>
                <c:pt idx="7">
                  <c:v>5928</c:v>
                </c:pt>
                <c:pt idx="8">
                  <c:v>5733</c:v>
                </c:pt>
                <c:pt idx="9">
                  <c:v>3032</c:v>
                </c:pt>
                <c:pt idx="10">
                  <c:v>3705</c:v>
                </c:pt>
                <c:pt idx="11">
                  <c:v>5217</c:v>
                </c:pt>
                <c:pt idx="12">
                  <c:v>3519</c:v>
                </c:pt>
                <c:pt idx="13">
                  <c:v>3134</c:v>
                </c:pt>
                <c:pt idx="14">
                  <c:v>3323</c:v>
                </c:pt>
                <c:pt idx="15">
                  <c:v>1629</c:v>
                </c:pt>
                <c:pt idx="16">
                  <c:v>1872</c:v>
                </c:pt>
                <c:pt idx="17">
                  <c:v>1979</c:v>
                </c:pt>
                <c:pt idx="18">
                  <c:v>1688</c:v>
                </c:pt>
                <c:pt idx="19">
                  <c:v>1074</c:v>
                </c:pt>
                <c:pt idx="20">
                  <c:v>1072</c:v>
                </c:pt>
                <c:pt idx="21">
                  <c:v>1806</c:v>
                </c:pt>
                <c:pt idx="22">
                  <c:v>1357</c:v>
                </c:pt>
                <c:pt idx="23">
                  <c:v>1577</c:v>
                </c:pt>
                <c:pt idx="24">
                  <c:v>971</c:v>
                </c:pt>
                <c:pt idx="25">
                  <c:v>807</c:v>
                </c:pt>
                <c:pt idx="26">
                  <c:v>1036</c:v>
                </c:pt>
                <c:pt idx="27">
                  <c:v>1017</c:v>
                </c:pt>
                <c:pt idx="28">
                  <c:v>1562</c:v>
                </c:pt>
                <c:pt idx="29">
                  <c:v>776</c:v>
                </c:pt>
                <c:pt idx="30">
                  <c:v>1173</c:v>
                </c:pt>
                <c:pt idx="31">
                  <c:v>1452</c:v>
                </c:pt>
                <c:pt idx="32">
                  <c:v>1552</c:v>
                </c:pt>
                <c:pt idx="33">
                  <c:v>1082</c:v>
                </c:pt>
                <c:pt idx="34">
                  <c:v>1217</c:v>
                </c:pt>
                <c:pt idx="35">
                  <c:v>982</c:v>
                </c:pt>
                <c:pt idx="36">
                  <c:v>1458</c:v>
                </c:pt>
                <c:pt idx="37">
                  <c:v>1475</c:v>
                </c:pt>
                <c:pt idx="38">
                  <c:v>1168</c:v>
                </c:pt>
                <c:pt idx="39">
                  <c:v>1803</c:v>
                </c:pt>
                <c:pt idx="40">
                  <c:v>1155</c:v>
                </c:pt>
                <c:pt idx="41">
                  <c:v>1513</c:v>
                </c:pt>
                <c:pt idx="42">
                  <c:v>953</c:v>
                </c:pt>
                <c:pt idx="43">
                  <c:v>1113</c:v>
                </c:pt>
                <c:pt idx="44">
                  <c:v>2291</c:v>
                </c:pt>
                <c:pt idx="45">
                  <c:v>2086</c:v>
                </c:pt>
                <c:pt idx="46">
                  <c:v>1784</c:v>
                </c:pt>
                <c:pt idx="47">
                  <c:v>1462</c:v>
                </c:pt>
                <c:pt idx="48">
                  <c:v>1027</c:v>
                </c:pt>
                <c:pt idx="49">
                  <c:v>1003</c:v>
                </c:pt>
                <c:pt idx="50">
                  <c:v>4862</c:v>
                </c:pt>
                <c:pt idx="51">
                  <c:v>3208</c:v>
                </c:pt>
                <c:pt idx="52">
                  <c:v>2899</c:v>
                </c:pt>
                <c:pt idx="53">
                  <c:v>3013</c:v>
                </c:pt>
                <c:pt idx="54">
                  <c:v>2056</c:v>
                </c:pt>
                <c:pt idx="55">
                  <c:v>3055</c:v>
                </c:pt>
                <c:pt idx="56">
                  <c:v>2950</c:v>
                </c:pt>
                <c:pt idx="57">
                  <c:v>1859</c:v>
                </c:pt>
                <c:pt idx="58">
                  <c:v>2382</c:v>
                </c:pt>
                <c:pt idx="59">
                  <c:v>4500</c:v>
                </c:pt>
                <c:pt idx="60">
                  <c:v>5910</c:v>
                </c:pt>
                <c:pt idx="61">
                  <c:v>4611</c:v>
                </c:pt>
                <c:pt idx="62">
                  <c:v>2502</c:v>
                </c:pt>
                <c:pt idx="63">
                  <c:v>1770</c:v>
                </c:pt>
                <c:pt idx="64">
                  <c:v>1759</c:v>
                </c:pt>
                <c:pt idx="65">
                  <c:v>1580</c:v>
                </c:pt>
                <c:pt idx="66">
                  <c:v>2740</c:v>
                </c:pt>
                <c:pt idx="67">
                  <c:v>3087</c:v>
                </c:pt>
                <c:pt idx="68">
                  <c:v>2464</c:v>
                </c:pt>
                <c:pt idx="69">
                  <c:v>3595</c:v>
                </c:pt>
                <c:pt idx="70">
                  <c:v>2556</c:v>
                </c:pt>
                <c:pt idx="71">
                  <c:v>1848</c:v>
                </c:pt>
                <c:pt idx="72">
                  <c:v>2157</c:v>
                </c:pt>
                <c:pt idx="73">
                  <c:v>2536</c:v>
                </c:pt>
                <c:pt idx="74">
                  <c:v>1773</c:v>
                </c:pt>
                <c:pt idx="75">
                  <c:v>1724</c:v>
                </c:pt>
                <c:pt idx="76">
                  <c:v>1760</c:v>
                </c:pt>
                <c:pt idx="77">
                  <c:v>1089</c:v>
                </c:pt>
                <c:pt idx="78">
                  <c:v>1084</c:v>
                </c:pt>
                <c:pt idx="79">
                  <c:v>1408</c:v>
                </c:pt>
                <c:pt idx="80">
                  <c:v>2522</c:v>
                </c:pt>
                <c:pt idx="81">
                  <c:v>2362</c:v>
                </c:pt>
                <c:pt idx="82">
                  <c:v>1647</c:v>
                </c:pt>
                <c:pt idx="83">
                  <c:v>2141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456512"/>
        <c:axId val="609335488"/>
      </c:lineChart>
      <c:catAx>
        <c:axId val="715456512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</a:ln>
          </c:spPr>
        </c:minorGridlines>
        <c:numFmt formatCode="m/d/yyyy" sourceLinked="0"/>
        <c:majorTickMark val="none"/>
        <c:minorTickMark val="none"/>
        <c:tickLblPos val="nextTo"/>
        <c:spPr>
          <a:ln>
            <a:solidFill>
              <a:schemeClr val="tx1">
                <a:lumMod val="95000"/>
                <a:lumOff val="5000"/>
                <a:alpha val="25000"/>
              </a:schemeClr>
            </a:solidFill>
          </a:ln>
        </c:spPr>
        <c:txPr>
          <a:bodyPr rot="1800000" anchor="ctr" anchorCtr="0"/>
          <a:lstStyle/>
          <a:p>
            <a:pPr>
              <a:defRPr sz="600"/>
            </a:pPr>
            <a:endParaRPr lang="pl-PL"/>
          </a:p>
        </c:txPr>
        <c:crossAx val="609335488"/>
        <c:crosses val="autoZero"/>
        <c:auto val="0"/>
        <c:lblAlgn val="ctr"/>
        <c:lblOffset val="150"/>
        <c:tickMarkSkip val="1"/>
        <c:noMultiLvlLbl val="0"/>
      </c:catAx>
      <c:valAx>
        <c:axId val="6093354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25000"/>
                </a:schemeClr>
              </a:solidFill>
            </a:ln>
            <a:effectLst/>
          </c:spPr>
        </c:majorGridlines>
        <c:minorGridlines>
          <c:spPr>
            <a:ln w="6350">
              <a:solidFill>
                <a:schemeClr val="bg1">
                  <a:lumMod val="95000"/>
                </a:schemeClr>
              </a:solidFill>
            </a:ln>
          </c:spPr>
        </c:minorGridlines>
        <c:numFmt formatCode="0" sourceLinked="1"/>
        <c:majorTickMark val="none"/>
        <c:minorTickMark val="none"/>
        <c:tickLblPos val="nextTo"/>
        <c:spPr>
          <a:ln>
            <a:solidFill>
              <a:schemeClr val="tx1">
                <a:lumMod val="95000"/>
                <a:lumOff val="5000"/>
                <a:alpha val="25000"/>
              </a:schemeClr>
            </a:solidFill>
          </a:ln>
        </c:spPr>
        <c:txPr>
          <a:bodyPr/>
          <a:lstStyle/>
          <a:p>
            <a:pPr>
              <a:defRPr sz="600"/>
            </a:pPr>
            <a:endParaRPr lang="pl-PL"/>
          </a:p>
        </c:txPr>
        <c:crossAx val="715456512"/>
        <c:crosses val="autoZero"/>
        <c:crossBetween val="between"/>
      </c:valAx>
      <c:spPr>
        <a:blipFill>
          <a:blip xmlns:r="http://schemas.openxmlformats.org/officeDocument/2006/relationships" r:embed="rId1">
            <a:alphaModFix amt="10000"/>
          </a:blip>
          <a:stretch>
            <a:fillRect l="10000" r="10000"/>
          </a:stretch>
        </a:blipFill>
        <a:effectLst/>
      </c:spPr>
    </c:plotArea>
    <c:legend>
      <c:legendPos val="r"/>
      <c:layout>
        <c:manualLayout>
          <c:xMode val="edge"/>
          <c:yMode val="edge"/>
          <c:x val="0.84614533432573757"/>
          <c:y val="2.8481452773578542E-2"/>
          <c:w val="0.15006678745126648"/>
          <c:h val="0.43962088756144618"/>
        </c:manualLayout>
      </c:layout>
      <c:overlay val="0"/>
      <c:txPr>
        <a:bodyPr/>
        <a:lstStyle/>
        <a:p>
          <a:pPr>
            <a:defRPr sz="700"/>
          </a:pPr>
          <a:endParaRPr lang="pl-PL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Verdana" pitchFamily="34" charset="0"/>
          <a:ea typeface="Verdana" pitchFamily="34" charset="0"/>
          <a:cs typeface="Verdana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</xdr:row>
          <xdr:rowOff>76200</xdr:rowOff>
        </xdr:from>
        <xdr:to>
          <xdr:col>0</xdr:col>
          <xdr:colOff>1114425</xdr:colOff>
          <xdr:row>1</xdr:row>
          <xdr:rowOff>381000</xdr:rowOff>
        </xdr:to>
        <xdr:sp macro="" textlink="">
          <xdr:nvSpPr>
            <xdr:cNvPr id="12289" name="Aktualizuj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</xdr:row>
          <xdr:rowOff>47625</xdr:rowOff>
        </xdr:from>
        <xdr:to>
          <xdr:col>0</xdr:col>
          <xdr:colOff>1133475</xdr:colOff>
          <xdr:row>3</xdr:row>
          <xdr:rowOff>19050</xdr:rowOff>
        </xdr:to>
        <xdr:sp macro="" textlink="">
          <xdr:nvSpPr>
            <xdr:cNvPr id="12290" name="autoupdate_chb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36</xdr:col>
      <xdr:colOff>441539</xdr:colOff>
      <xdr:row>1</xdr:row>
      <xdr:rowOff>165115</xdr:rowOff>
    </xdr:from>
    <xdr:to>
      <xdr:col>37</xdr:col>
      <xdr:colOff>428775</xdr:colOff>
      <xdr:row>1</xdr:row>
      <xdr:rowOff>307868</xdr:rowOff>
    </xdr:to>
    <xdr:grpSp>
      <xdr:nvGrpSpPr>
        <xdr:cNvPr id="18" name="Grupa 17"/>
        <xdr:cNvGrpSpPr/>
      </xdr:nvGrpSpPr>
      <xdr:grpSpPr>
        <a:xfrm>
          <a:off x="31731164" y="165115"/>
          <a:ext cx="951642" cy="142753"/>
          <a:chOff x="12093583" y="165115"/>
          <a:chExt cx="948019" cy="142753"/>
        </a:xfrm>
      </xdr:grpSpPr>
      <xdr:sp macro="" textlink="">
        <xdr:nvSpPr>
          <xdr:cNvPr id="2" name="Prostokąt 1"/>
          <xdr:cNvSpPr/>
        </xdr:nvSpPr>
        <xdr:spPr>
          <a:xfrm>
            <a:off x="12093583" y="165115"/>
            <a:ext cx="313766" cy="142753"/>
          </a:xfrm>
          <a:prstGeom prst="rect">
            <a:avLst/>
          </a:prstGeom>
          <a:solidFill>
            <a:schemeClr val="bg1"/>
          </a:solidFill>
          <a:ln w="3175"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9" name="Prostokąt 8"/>
          <xdr:cNvSpPr/>
        </xdr:nvSpPr>
        <xdr:spPr>
          <a:xfrm>
            <a:off x="12727836" y="165115"/>
            <a:ext cx="313766" cy="142753"/>
          </a:xfrm>
          <a:prstGeom prst="rect">
            <a:avLst/>
          </a:prstGeom>
          <a:solidFill>
            <a:srgbClr val="DF5B5B"/>
          </a:solidFill>
          <a:ln w="3175"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16" name="Strzałka w prawo 15"/>
          <xdr:cNvSpPr/>
        </xdr:nvSpPr>
        <xdr:spPr>
          <a:xfrm>
            <a:off x="12475538" y="183243"/>
            <a:ext cx="186712" cy="106496"/>
          </a:xfrm>
          <a:prstGeom prst="rightArrow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</xdr:grpSp>
    <xdr:clientData/>
  </xdr:twoCellAnchor>
  <xdr:twoCellAnchor>
    <xdr:from>
      <xdr:col>36</xdr:col>
      <xdr:colOff>308338</xdr:colOff>
      <xdr:row>1</xdr:row>
      <xdr:rowOff>348010</xdr:rowOff>
    </xdr:from>
    <xdr:to>
      <xdr:col>37</xdr:col>
      <xdr:colOff>561975</xdr:colOff>
      <xdr:row>2</xdr:row>
      <xdr:rowOff>187913</xdr:rowOff>
    </xdr:to>
    <xdr:sp macro="" textlink="">
      <xdr:nvSpPr>
        <xdr:cNvPr id="17" name="pole tekstowe 16"/>
        <xdr:cNvSpPr txBox="1"/>
      </xdr:nvSpPr>
      <xdr:spPr>
        <a:xfrm>
          <a:off x="12052663" y="348010"/>
          <a:ext cx="1215662" cy="3352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l-PL" sz="900"/>
            <a:t>Zalezność tygodniowa</a:t>
          </a:r>
        </a:p>
      </xdr:txBody>
    </xdr:sp>
    <xdr:clientData/>
  </xdr:twoCellAnchor>
  <xdr:twoCellAnchor>
    <xdr:from>
      <xdr:col>38</xdr:col>
      <xdr:colOff>251257</xdr:colOff>
      <xdr:row>1</xdr:row>
      <xdr:rowOff>181581</xdr:rowOff>
    </xdr:from>
    <xdr:to>
      <xdr:col>38</xdr:col>
      <xdr:colOff>780565</xdr:colOff>
      <xdr:row>1</xdr:row>
      <xdr:rowOff>291401</xdr:rowOff>
    </xdr:to>
    <xdr:sp macro="" textlink="">
      <xdr:nvSpPr>
        <xdr:cNvPr id="20" name="Prostokąt 19"/>
        <xdr:cNvSpPr/>
      </xdr:nvSpPr>
      <xdr:spPr>
        <a:xfrm>
          <a:off x="13919632" y="181581"/>
          <a:ext cx="529308" cy="109820"/>
        </a:xfrm>
        <a:prstGeom prst="rect">
          <a:avLst/>
        </a:prstGeom>
        <a:gradFill flip="none" rotWithShape="1">
          <a:gsLst>
            <a:gs pos="0">
              <a:srgbClr val="DF5B5B">
                <a:tint val="66000"/>
                <a:satMod val="160000"/>
              </a:srgbClr>
            </a:gs>
            <a:gs pos="50000">
              <a:srgbClr val="DF5B5B">
                <a:tint val="44500"/>
                <a:satMod val="160000"/>
              </a:srgbClr>
            </a:gs>
            <a:gs pos="100000">
              <a:srgbClr val="DF5B5B">
                <a:tint val="23500"/>
                <a:satMod val="160000"/>
              </a:srgbClr>
            </a:gs>
          </a:gsLst>
          <a:lin ang="0" scaled="1"/>
          <a:tileRect/>
        </a:gradFill>
        <a:ln w="3175">
          <a:solidFill>
            <a:srgbClr val="DF5B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717498</xdr:colOff>
      <xdr:row>1</xdr:row>
      <xdr:rowOff>348008</xdr:rowOff>
    </xdr:from>
    <xdr:to>
      <xdr:col>39</xdr:col>
      <xdr:colOff>314325</xdr:colOff>
      <xdr:row>3</xdr:row>
      <xdr:rowOff>9524</xdr:rowOff>
    </xdr:to>
    <xdr:sp macro="" textlink="">
      <xdr:nvSpPr>
        <xdr:cNvPr id="21" name="pole tekstowe 20"/>
        <xdr:cNvSpPr txBox="1"/>
      </xdr:nvSpPr>
      <xdr:spPr>
        <a:xfrm>
          <a:off x="13423848" y="348008"/>
          <a:ext cx="1520877" cy="45209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l-PL" sz="900" b="0"/>
            <a:t>Zalezność</a:t>
          </a:r>
          <a:r>
            <a:rPr lang="pl-PL" sz="900"/>
            <a:t> </a:t>
          </a:r>
          <a:r>
            <a:rPr lang="pl-PL" sz="900" baseline="0"/>
            <a:t> w całym zbiorze (od dnia 30.05.2012)</a:t>
          </a:r>
          <a:r>
            <a:rPr lang="pl-PL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pl-PL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80962</xdr:rowOff>
    </xdr:from>
    <xdr:to>
      <xdr:col>10</xdr:col>
      <xdr:colOff>47625</xdr:colOff>
      <xdr:row>23</xdr:row>
      <xdr:rowOff>114300</xdr:rowOff>
    </xdr:to>
    <xdr:graphicFrame macro="">
      <xdr:nvGraphicFramePr>
        <xdr:cNvPr id="4" name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24</xdr:row>
      <xdr:rowOff>123825</xdr:rowOff>
    </xdr:from>
    <xdr:to>
      <xdr:col>10</xdr:col>
      <xdr:colOff>57150</xdr:colOff>
      <xdr:row>47</xdr:row>
      <xdr:rowOff>157163</xdr:rowOff>
    </xdr:to>
    <xdr:graphicFrame macro="">
      <xdr:nvGraphicFramePr>
        <xdr:cNvPr id="15" name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0</xdr:row>
      <xdr:rowOff>0</xdr:rowOff>
    </xdr:from>
    <xdr:to>
      <xdr:col>20</xdr:col>
      <xdr:colOff>533400</xdr:colOff>
      <xdr:row>23</xdr:row>
      <xdr:rowOff>33338</xdr:rowOff>
    </xdr:to>
    <xdr:graphicFrame macro="">
      <xdr:nvGraphicFramePr>
        <xdr:cNvPr id="5" name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&amp;type=tweet_1624" growShrinkType="overwriteClear" adjustColumnWidth="0" connectionId="8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&amp;type=tweet_1623" growShrinkType="overwriteClear" adjustColumnWidth="0" connectionId="7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&amp;type=tweet_1622" growShrinkType="overwriteClear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&amp;type=tweet_1621" growShrinkType="overwriteClear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&amp;type=tweet_1620" growShrinkType="overwriteClear" adjustColumnWidth="0" connectionId="7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&amp;type=tweet_1619" growShrinkType="overwriteClear" adjustColumnWidth="0" connectionId="7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&amp;type=tweet_1618" growShrinkType="overwriteClear" adjustColumnWidth="0" connectionId="7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&amp;type=tweet_1617" growShrinkType="overwriteClear" adjustColumnWidth="0" connectionId="7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&amp;type=tweet_1616" growShrinkType="overwriteClear" adjustColumnWidth="0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&amp;type=tweet_1615" growShrinkType="overwriteClear" adjustColumnWidth="0" connectionId="7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&amp;type=tweet_1614" growShrinkType="overwriteClear" adjustColumnWidth="0" connectionId="6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&amp;type=tweet_1613" growShrinkType="overwriteClear" adjustColumnWidth="0" connectionId="6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&amp;type=tweet_1612" growShrinkType="overwriteClear" adjustColumnWidth="0" connectionId="6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&amp;type=tweet_1611" growShrinkType="overwriteClear" adjustColumnWidth="0" connectionId="6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&amp;type=tweet_1610" growShrinkType="overwriteClear" adjustColumnWidt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&amp;type=tweet_1609" growShrinkType="overwriteClear" adjustColumnWidth="0" connectionId="6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&amp;type=tweet_1608" growShrinkType="overwriteClear" adjustColumnWidth="0" connectionId="6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&amp;type=tweet_1607" growShrinkType="overwriteClear" adjustColumnWidth="0" connectionId="6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&amp;type=tweet_1559" growShrinkType="overwriteClear" adjustColumnWidth="0" connectionId="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&amp;type=tweet" growShrinkType="overwriteClear" adjustColumnWidth="0" connectionId="4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&amp;type=tweet_1539" growShrinkType="overwriteClear" adjustColumnWidt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&amp;type=tweet_1580" growShrinkType="overwriteClear" adjustColumnWidth="0" connectionId="3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&amp;type=tweet_1572" growShrinkType="overwriteClear" adjustColumnWidt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&amp;type=tweet_1595" growShrinkType="overwriteClear" adjustColumnWidth="0" connectionId="4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&amp;type=tweet_1578" growShrinkType="overwriteClear" adjustColumnWidth="0" connectionId="2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&amp;type=tweet_1570" growShrinkType="overwriteClear" adjustColumnWidth="0" connectionId="1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&amp;type=tweet_1598" growShrinkType="overwriteClear" adjustColumnWidth="0" connectionId="5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&amp;type=tweet_1547" growShrinkType="overwriteClear" adjustColumnWidth="0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&amp;type=tweet_1563" growShrinkType="overwriteClear" adjustColumnWidth="0" connectionId="1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&amp;type=tweet_1552" growShrinkType="overwriteClear" adjustColumnWidth="0" connectionId="6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&amp;type=tweet_1555" growShrinkType="overwriteClear" adjustColumnWidth="0" connectionId="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&amp;type=tweet_1550" growShrinkType="overwriteClear" adjustColumnWidth="0" connectionId="4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&amp;type=tweet_1553" growShrinkType="overwriteClear" adjustColumnWidth="0" connectionId="7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&amp;type=tweet_1545" growShrinkType="overwriteClear" adjustColumnWidth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&amp;type=tweet_1603" growShrinkType="overwriteClear" adjustColumnWidth="0" connectionId="5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&amp;type=tweet_1533" growShrinkType="overwriteClear" adjustColumnWidth="0" connectionId="7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&amp;type=tweet_1588" growShrinkType="overwriteClear" adjustColumnWidth="0" connectionId="3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&amp;type=tweet_1574" growShrinkType="overwriteClear" adjustColumnWidth="0" connectionId="2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&amp;type=tweet_1579" growShrinkType="overwriteClear" adjustColumnWidth="0" connectionId="2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&amp;type=tweet_1592" growShrinkType="overwriteClear" adjustColumnWidth="0" connectionId="4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&amp;type=tweet_1527" growShrinkType="overwriteClear" adjustColumnWidth="0" connectionId="1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&amp;type=tweet_1586" growShrinkType="overwriteClear" adjustColumnWidth="0" connectionId="3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&amp;type=tweet_1554" growShrinkType="overwriteClear" adjustColumnWidth="0" connectionId="8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&amp;type=tweet_1526" growShrinkType="overwriteClear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&amp;type=tweet_1525" growShrinkType="overwriteClear" adjustColumnWidt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&amp;type=tweet_1557" growShrinkType="overwriteClear" adjustColumnWidth="0" connectionId="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&amp;type=tweet_1575" growShrinkType="overwriteClear" adjustColumnWidth="0" connectionId="2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&amp;type=tweet_1568" growShrinkType="overwriteClear" adjustColumnWidth="0" connectionId="1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&amp;type=tweet_1546" growShrinkType="overwriteClear" adjustColumnWidth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&amp;type=tweet_1583" growShrinkType="overwriteClear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&amp;type=tweet_1589" growShrinkType="overwriteClear" adjustColumnWidth="0" connectionId="4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&amp;type=tweet_1543" growShrinkType="overwriteClear" adjustColumnWidth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&amp;type=tweet_1590" growShrinkType="overwriteClear" adjustColumnWidth="0" connectionId="4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&amp;type=tweet_1576" growShrinkType="overwriteClear" adjustColumnWidth="0" connectionId="2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&amp;type=tweet_1606" growShrinkType="overwriteClear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&amp;type=tweet_1597" growShrinkType="overwriteClear" adjustColumnWidth="0" connectionId="5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&amp;type=tweet_1577" growShrinkType="overwriteClear" adjustColumnWidth="0" connectionId="2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&amp;type=tweet_1531" growShrinkType="overwriteClear" adjustColumnWidth="0" connectionId="5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&amp;type=tweet_1584" growShrinkType="overwriteClear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&amp;type=tweet_1582" growShrinkType="overwriteClear" adjustColumnWidth="0" connectionId="3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&amp;type=tweet_1594" growShrinkType="overwriteClear" adjustColumnWidth="0" connectionId="4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&amp;type=tweet_1605" growShrinkType="overwriteClear" adjustColumnWidth="0" connectionId="5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&amp;type=tweet_1556" growShrinkType="overwriteClear" adjustColumnWidth="0" connectionId="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&amp;type=tweet_1602" growShrinkType="overwriteClear" adjustColumnWidth="0" connectionId="5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&amp;type=tweet_1565" growShrinkType="overwriteClear" adjustColumnWidth="0" connectionId="1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&amp;type=tweet_1599" growShrinkType="overwriteClear" adjustColumnWidth="0" connectionId="5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&amp;type=tweet_1541" growShrinkType="overwriteClear" adjustColumnWidt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&amp;type=tweet_1560" growShrinkType="overwriteClear" adjustColumnWidth="0" connectionId="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&amp;type=tweet_1569" growShrinkType="overwriteClear" adjustColumnWidth="0" connectionId="1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&amp;type=tweet_1548" growShrinkType="overwriteClear" adjustColumnWidth="0" connectionId="2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&amp;type=tweet_1573" growShrinkType="overwriteClear" adjustColumnWidth="0" connectionId="2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&amp;type=tweet_1587" growShrinkType="overwriteClear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&amp;type=tweet_1534" growShrinkType="overwriteClear" adjustColumnWidth="0" connectionId="8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&amp;type=tweet_1558" growShrinkType="overwriteClear" adjustColumnWidth="0" connectionId="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&amp;type=tweet_1566" growShrinkType="overwriteClear" adjustColumnWidth="0" connectionId="1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&amp;type=tweet_1596" growShrinkType="overwriteClear" adjustColumnWidth="0" connectionId="4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&amp;type=tweet_1562" growShrinkType="overwriteClear" adjustColumnWidth="0" connectionId="1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&amp;type=tweet_1593" growShrinkType="overwriteClear" adjustColumnWidth="0" connectionId="4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&amp;type=tweet_1561" growShrinkType="overwriteClear" adjustColumnWidth="0" connectionId="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&amp;type=tweet_1604" growShrinkType="overwriteClear" adjustColumnWidth="0" connectionId="5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&amp;type=tweet_1528" growShrinkType="overwriteClear" adjustColumnWidth="0" connectionId="2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&amp;type=tweet_1585" growShrinkType="overwriteClear" adjustColumnWidth="0" connectionId="3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&amp;type=tweet_1601" growShrinkType="overwriteClear" adjustColumnWidth="0" connectionId="5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&amp;type=tweet_1537" growShrinkType="overwriteClear" adjustColumnWidth="0" connectionId="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&amp;type=tweet_1549" growShrinkType="overwriteClear" adjustColumnWidth="0" connectionId="3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&amp;type=tweet_1529" growShrinkType="overwriteClear" adjustColumnWidth="0" connectionId="3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&amp;type=tweet_1600" growShrinkType="overwriteClear" adjustColumnWidth="0" connectionId="5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&amp;type=tweet_1591" growShrinkType="overwriteClear" adjustColumnWidth="0" connectionId="4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&amp;type=tweet_1581" growShrinkType="overwriteClear" adjustColumnWidth="0" connectionId="3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&amp;type=tweet_1536" growShrinkType="overwriteClear" adjustColumnWidth="0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&amp;type=tweet_1564" growShrinkType="overwriteClear" adjustColumnWidth="0" connectionId="1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&amp;type=tweet_1542" growShrinkType="overwriteClear" adjustColumnWidth="0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&amp;type=tweet_1551" growShrinkType="overwriteClear" adjustColumnWidth="0" connectionId="5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2" name="Tabela12" displayName="Tabela12" ref="C3:L87" totalsRowShown="0" headerRowDxfId="49" dataDxfId="48">
  <autoFilter ref="C3:L87"/>
  <tableColumns count="10">
    <tableColumn id="1" name="Data" dataDxfId="47"/>
    <tableColumn id="2" name="Damaszek" dataDxfId="46"/>
    <tableColumn id="3" name="Aleppo" dataDxfId="45"/>
    <tableColumn id="4" name="Hama" dataDxfId="44"/>
    <tableColumn id="5" name="Homs" dataDxfId="43"/>
    <tableColumn id="6" name="Dajr az-Zawr" dataDxfId="42"/>
    <tableColumn id="7" name="Dara" dataDxfId="41"/>
    <tableColumn id="8" name="Hasaka" dataDxfId="40"/>
    <tableColumn id="9" name="Idlib" dataDxfId="39"/>
    <tableColumn id="10" name="Latakia" dataDxfId="38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id="13" name="Tabela13" displayName="Tabela13" ref="N3:W87" totalsRowShown="0" headerRowDxfId="37" dataDxfId="36">
  <autoFilter ref="N3:W87"/>
  <tableColumns count="10">
    <tableColumn id="1" name="Data" dataDxfId="35"/>
    <tableColumn id="2" name="Damaszek" dataDxfId="34"/>
    <tableColumn id="3" name="Aleppo" dataDxfId="33"/>
    <tableColumn id="4" name="Hama" dataDxfId="32"/>
    <tableColumn id="5" name="Homs" dataDxfId="31"/>
    <tableColumn id="6" name="Dajr az-Zawr" dataDxfId="30"/>
    <tableColumn id="7" name="Dara" dataDxfId="29"/>
    <tableColumn id="8" name="Hasaka" dataDxfId="28"/>
    <tableColumn id="9" name="Idlib" dataDxfId="27"/>
    <tableColumn id="10" name="Latakia" dataDxfId="26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14" name="Tabela14" displayName="Tabela14" ref="Y3:AJ87" headerRowDxfId="25" dataDxfId="24">
  <autoFilter ref="Y3:AJ87"/>
  <tableColumns count="12">
    <tableColumn id="1" name="Data" dataDxfId="23" totalsRowDxfId="22"/>
    <tableColumn id="2" name="Damaszek" totalsRowFunction="custom" dataDxfId="21" totalsRowDxfId="20">
      <calculatedColumnFormula>SUM(D4+O4)</calculatedColumnFormula>
      <totalsRowFormula>SUM(D56+O56)</totalsRowFormula>
    </tableColumn>
    <tableColumn id="3" name="Aleppo" dataDxfId="19" totalsRowDxfId="18">
      <calculatedColumnFormula>SUM(E4+P4)</calculatedColumnFormula>
    </tableColumn>
    <tableColumn id="4" name="Hama" dataDxfId="17" totalsRowDxfId="16">
      <calculatedColumnFormula>SUM(F4+Q4)</calculatedColumnFormula>
    </tableColumn>
    <tableColumn id="5" name="Homs" dataDxfId="15" totalsRowDxfId="14">
      <calculatedColumnFormula>SUM(G4+R4)</calculatedColumnFormula>
    </tableColumn>
    <tableColumn id="6" name="Dajr az-Zawr" dataDxfId="13" totalsRowDxfId="12">
      <calculatedColumnFormula>SUM(H4+S4)</calculatedColumnFormula>
    </tableColumn>
    <tableColumn id="7" name="Dara" dataDxfId="11" totalsRowDxfId="10">
      <calculatedColumnFormula>SUM(I4+T4)</calculatedColumnFormula>
    </tableColumn>
    <tableColumn id="8" name="Hasaka" dataDxfId="9" totalsRowDxfId="8">
      <calculatedColumnFormula>SUM(J4+U4)</calculatedColumnFormula>
    </tableColumn>
    <tableColumn id="9" name="Idlib" dataDxfId="7" totalsRowDxfId="6">
      <calculatedColumnFormula>SUM(K4+V4)</calculatedColumnFormula>
    </tableColumn>
    <tableColumn id="10" name="Latakia" dataDxfId="5" totalsRowDxfId="4">
      <calculatedColumnFormula>SUM(L4+W4)</calculatedColumnFormula>
    </tableColumn>
    <tableColumn id="11" name="SUMA DNIA" dataDxfId="3" totalsRowDxfId="2">
      <calculatedColumnFormula>SUM(Z4:AH4)</calculatedColumnFormula>
    </tableColumn>
    <tableColumn id="12" name="SUMA Z OST. 7 DNI" dataDxfId="1" totalsRowDxfId="0">
      <calculatedColumnFormula>SUM(AI1:AI4)/7</calculatedColumnFormula>
    </tableColumn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3.xml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93" Type="http://schemas.openxmlformats.org/officeDocument/2006/relationships/queryTable" Target="../queryTables/queryTable93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4"/>
  <dimension ref="A1:BE87"/>
  <sheetViews>
    <sheetView showGridLines="0" tabSelected="1" zoomScale="80" zoomScaleNormal="80" workbookViewId="0">
      <pane xSplit="1" ySplit="3" topLeftCell="O38" activePane="bottomRight" state="frozenSplit"/>
      <selection activeCell="A12" sqref="A12"/>
      <selection pane="topRight" activeCell="M1" sqref="M1"/>
      <selection pane="bottomLeft" activeCell="A4" sqref="A4"/>
      <selection pane="bottomRight" activeCell="AJ87" sqref="AJ87"/>
    </sheetView>
  </sheetViews>
  <sheetFormatPr defaultColWidth="14.42578125" defaultRowHeight="11.25" x14ac:dyDescent="0.25"/>
  <cols>
    <col min="1" max="1" width="17.140625" style="21" customWidth="1"/>
    <col min="2" max="2" width="5.7109375" style="8" customWidth="1"/>
    <col min="3" max="3" width="14.42578125" style="8" customWidth="1"/>
    <col min="4" max="12" width="12.5703125" style="8" customWidth="1"/>
    <col min="13" max="13" width="14.42578125" style="8" customWidth="1"/>
    <col min="14" max="14" width="18.140625" style="8" customWidth="1"/>
    <col min="15" max="23" width="12.5703125" style="8" customWidth="1"/>
    <col min="24" max="24" width="14.42578125" style="8" customWidth="1"/>
    <col min="25" max="25" width="14.42578125" style="8"/>
    <col min="26" max="36" width="13.140625" style="8" customWidth="1"/>
    <col min="37" max="54" width="14.42578125" style="8"/>
    <col min="55" max="55" width="14.42578125" style="9"/>
    <col min="56" max="16384" width="14.42578125" style="8"/>
  </cols>
  <sheetData>
    <row r="1" spans="1:57" s="21" customFormat="1" ht="36" hidden="1" customHeight="1" x14ac:dyDescent="0.25">
      <c r="D1" s="21" t="s">
        <v>25</v>
      </c>
      <c r="E1" s="21" t="s">
        <v>24</v>
      </c>
      <c r="F1" s="21" t="s">
        <v>26</v>
      </c>
      <c r="G1" s="21" t="s">
        <v>23</v>
      </c>
      <c r="H1" s="21" t="s">
        <v>27</v>
      </c>
      <c r="I1" s="21" t="s">
        <v>28</v>
      </c>
      <c r="J1" s="21" t="s">
        <v>29</v>
      </c>
      <c r="K1" s="21" t="s">
        <v>30</v>
      </c>
      <c r="L1" s="21" t="s">
        <v>31</v>
      </c>
      <c r="O1" s="21" t="s">
        <v>14</v>
      </c>
      <c r="P1" s="21" t="s">
        <v>15</v>
      </c>
      <c r="Q1" s="21" t="s">
        <v>16</v>
      </c>
      <c r="R1" s="21" t="s">
        <v>17</v>
      </c>
      <c r="S1" s="21" t="s">
        <v>18</v>
      </c>
      <c r="T1" s="21" t="s">
        <v>19</v>
      </c>
      <c r="U1" s="21" t="s">
        <v>20</v>
      </c>
      <c r="V1" s="21" t="s">
        <v>21</v>
      </c>
      <c r="W1" s="21" t="s">
        <v>22</v>
      </c>
      <c r="AA1" s="21" t="s">
        <v>34</v>
      </c>
      <c r="BB1" s="20"/>
      <c r="BC1" s="1"/>
      <c r="BD1" s="20"/>
      <c r="BE1" s="20"/>
    </row>
    <row r="2" spans="1:57" ht="39" customHeight="1" x14ac:dyDescent="0.25">
      <c r="C2" s="36" t="s">
        <v>6</v>
      </c>
      <c r="D2" s="36"/>
      <c r="E2" s="36"/>
      <c r="F2" s="36"/>
      <c r="G2" s="36"/>
      <c r="H2" s="36"/>
      <c r="I2" s="36"/>
      <c r="J2" s="36"/>
      <c r="K2" s="36"/>
      <c r="L2" s="36"/>
      <c r="N2" s="36" t="s">
        <v>5</v>
      </c>
      <c r="O2" s="36"/>
      <c r="P2" s="36"/>
      <c r="Q2" s="36"/>
      <c r="R2" s="36"/>
      <c r="S2" s="36"/>
      <c r="T2" s="36"/>
      <c r="U2" s="36"/>
      <c r="V2" s="36"/>
      <c r="W2" s="36"/>
      <c r="Y2" s="36" t="s">
        <v>4</v>
      </c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BB2" s="10"/>
      <c r="BD2" s="10"/>
      <c r="BE2" s="10"/>
    </row>
    <row r="3" spans="1:57" s="15" customFormat="1" ht="23.25" customHeight="1" x14ac:dyDescent="0.25">
      <c r="A3" s="22"/>
      <c r="C3" s="16" t="s">
        <v>33</v>
      </c>
      <c r="D3" s="3" t="s">
        <v>8</v>
      </c>
      <c r="E3" s="3" t="s">
        <v>0</v>
      </c>
      <c r="F3" s="3" t="s">
        <v>1</v>
      </c>
      <c r="G3" s="3" t="s">
        <v>2</v>
      </c>
      <c r="H3" s="3" t="s">
        <v>9</v>
      </c>
      <c r="I3" s="3" t="s">
        <v>10</v>
      </c>
      <c r="J3" s="3" t="s">
        <v>3</v>
      </c>
      <c r="K3" s="3" t="s">
        <v>11</v>
      </c>
      <c r="L3" s="3" t="s">
        <v>12</v>
      </c>
      <c r="M3" s="19"/>
      <c r="N3" s="17" t="s">
        <v>33</v>
      </c>
      <c r="O3" s="3" t="s">
        <v>8</v>
      </c>
      <c r="P3" s="3" t="s">
        <v>0</v>
      </c>
      <c r="Q3" s="3" t="s">
        <v>1</v>
      </c>
      <c r="R3" s="3" t="s">
        <v>2</v>
      </c>
      <c r="S3" s="3" t="s">
        <v>9</v>
      </c>
      <c r="T3" s="3" t="s">
        <v>10</v>
      </c>
      <c r="U3" s="3" t="s">
        <v>3</v>
      </c>
      <c r="V3" s="3" t="s">
        <v>11</v>
      </c>
      <c r="W3" s="3" t="s">
        <v>12</v>
      </c>
      <c r="Y3" s="16" t="s">
        <v>33</v>
      </c>
      <c r="Z3" s="3" t="s">
        <v>8</v>
      </c>
      <c r="AA3" s="3" t="s">
        <v>0</v>
      </c>
      <c r="AB3" s="3" t="s">
        <v>1</v>
      </c>
      <c r="AC3" s="3" t="s">
        <v>2</v>
      </c>
      <c r="AD3" s="3" t="s">
        <v>9</v>
      </c>
      <c r="AE3" s="3" t="s">
        <v>10</v>
      </c>
      <c r="AF3" s="3" t="s">
        <v>3</v>
      </c>
      <c r="AG3" s="3" t="s">
        <v>11</v>
      </c>
      <c r="AH3" s="3" t="s">
        <v>12</v>
      </c>
      <c r="AI3" s="18" t="s">
        <v>7</v>
      </c>
      <c r="AJ3" s="18" t="s">
        <v>32</v>
      </c>
      <c r="BB3" s="19"/>
      <c r="BC3" s="16"/>
      <c r="BD3" s="19"/>
      <c r="BE3" s="19"/>
    </row>
    <row r="4" spans="1:57" ht="15.75" customHeight="1" x14ac:dyDescent="0.25">
      <c r="C4" s="13">
        <v>41059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1"/>
      <c r="N4" s="13">
        <v>41059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9"/>
      <c r="Y4" s="13">
        <v>41059</v>
      </c>
      <c r="Z4" s="7">
        <v>11884</v>
      </c>
      <c r="AA4" s="7">
        <v>788</v>
      </c>
      <c r="AB4" s="7">
        <v>5477</v>
      </c>
      <c r="AC4" s="7">
        <v>10933</v>
      </c>
      <c r="AD4" s="7">
        <v>687</v>
      </c>
      <c r="AE4" s="7">
        <v>3452</v>
      </c>
      <c r="AF4" s="7">
        <v>285</v>
      </c>
      <c r="AG4" s="7">
        <v>1991</v>
      </c>
      <c r="AH4" s="7">
        <v>674</v>
      </c>
      <c r="AI4" s="33">
        <f>SUM(Z4:AH4)</f>
        <v>36171</v>
      </c>
      <c r="AJ4" s="6"/>
      <c r="AK4" s="9"/>
      <c r="AL4" s="9"/>
      <c r="AM4" s="9"/>
      <c r="AN4" s="9"/>
      <c r="AO4" s="9"/>
      <c r="AP4" s="9"/>
      <c r="BD4" s="10"/>
      <c r="BE4" s="10"/>
    </row>
    <row r="5" spans="1:57" ht="15.75" customHeight="1" x14ac:dyDescent="0.25">
      <c r="C5" s="13">
        <v>41060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/>
      <c r="N5" s="13">
        <v>41060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/>
      <c r="Y5" s="13">
        <v>41060</v>
      </c>
      <c r="Z5" s="7">
        <v>10716</v>
      </c>
      <c r="AA5" s="7">
        <v>7553</v>
      </c>
      <c r="AB5" s="7">
        <v>3236</v>
      </c>
      <c r="AC5" s="7">
        <v>9784</v>
      </c>
      <c r="AD5" s="7">
        <v>773</v>
      </c>
      <c r="AE5" s="7">
        <v>4529</v>
      </c>
      <c r="AF5" s="7">
        <v>289</v>
      </c>
      <c r="AG5" s="7">
        <v>1306</v>
      </c>
      <c r="AH5" s="7">
        <v>771</v>
      </c>
      <c r="AI5" s="33">
        <f t="shared" ref="AI5:AI54" si="0">SUM(Z5:AH5)</f>
        <v>38957</v>
      </c>
      <c r="AJ5" s="6"/>
      <c r="AK5" s="5"/>
      <c r="AL5" s="9"/>
      <c r="AM5" s="9"/>
      <c r="AN5" s="9"/>
      <c r="AO5" s="9"/>
      <c r="AP5" s="9"/>
      <c r="BD5" s="10"/>
    </row>
    <row r="6" spans="1:57" ht="15.75" customHeight="1" x14ac:dyDescent="0.25">
      <c r="C6" s="13">
        <v>41061</v>
      </c>
      <c r="D6" s="1">
        <v>2586</v>
      </c>
      <c r="E6" s="1">
        <v>734</v>
      </c>
      <c r="F6" s="1">
        <v>1030</v>
      </c>
      <c r="G6" s="1">
        <v>2795</v>
      </c>
      <c r="H6" s="1">
        <v>105</v>
      </c>
      <c r="I6" s="1">
        <v>360</v>
      </c>
      <c r="J6" s="1">
        <v>4</v>
      </c>
      <c r="K6" s="1">
        <v>529</v>
      </c>
      <c r="L6" s="1">
        <v>58</v>
      </c>
      <c r="M6" s="1"/>
      <c r="N6" s="13">
        <v>41061</v>
      </c>
      <c r="O6" s="1">
        <v>8964</v>
      </c>
      <c r="P6" s="1">
        <v>8353</v>
      </c>
      <c r="Q6" s="1">
        <v>2086</v>
      </c>
      <c r="R6" s="1">
        <v>6027</v>
      </c>
      <c r="S6" s="1">
        <v>414</v>
      </c>
      <c r="T6" s="1">
        <v>4709</v>
      </c>
      <c r="U6" s="1">
        <v>357</v>
      </c>
      <c r="V6" s="1">
        <v>703</v>
      </c>
      <c r="W6" s="1">
        <v>939</v>
      </c>
      <c r="X6" s="2"/>
      <c r="Y6" s="13">
        <v>41061</v>
      </c>
      <c r="Z6" s="12">
        <f t="shared" ref="Z6:Z54" si="1">SUM(D6+O6)</f>
        <v>11550</v>
      </c>
      <c r="AA6" s="12">
        <f t="shared" ref="AA6:AC19" si="2">SUM(E6+P6)</f>
        <v>9087</v>
      </c>
      <c r="AB6" s="12">
        <f t="shared" si="2"/>
        <v>3116</v>
      </c>
      <c r="AC6" s="12">
        <f t="shared" si="2"/>
        <v>8822</v>
      </c>
      <c r="AD6" s="12">
        <f t="shared" ref="AD6:AD54" si="3">SUM(H6+S6)</f>
        <v>519</v>
      </c>
      <c r="AE6" s="12">
        <f t="shared" ref="AE6:AH54" si="4">SUM(I6+T6)</f>
        <v>5069</v>
      </c>
      <c r="AF6" s="12">
        <f t="shared" si="4"/>
        <v>361</v>
      </c>
      <c r="AG6" s="12">
        <f t="shared" si="4"/>
        <v>1232</v>
      </c>
      <c r="AH6" s="12">
        <f t="shared" si="4"/>
        <v>997</v>
      </c>
      <c r="AI6" s="33">
        <f>SUM(Z6:AH6)</f>
        <v>40753</v>
      </c>
      <c r="AJ6" s="6"/>
      <c r="AK6" s="5"/>
      <c r="AL6" s="9"/>
      <c r="AM6" s="9"/>
      <c r="AN6" s="9"/>
      <c r="AO6" s="9"/>
      <c r="AP6" s="9"/>
      <c r="BD6" s="10"/>
    </row>
    <row r="7" spans="1:57" ht="15.75" customHeight="1" x14ac:dyDescent="0.25">
      <c r="C7" s="13">
        <v>41062</v>
      </c>
      <c r="D7" s="1">
        <v>3695</v>
      </c>
      <c r="E7" s="1">
        <v>2364</v>
      </c>
      <c r="F7" s="1">
        <v>2265</v>
      </c>
      <c r="G7" s="1">
        <v>6131</v>
      </c>
      <c r="H7" s="1">
        <v>57</v>
      </c>
      <c r="I7" s="1">
        <v>727</v>
      </c>
      <c r="J7" s="1">
        <v>14</v>
      </c>
      <c r="K7" s="1">
        <v>1019</v>
      </c>
      <c r="L7" s="1">
        <v>109</v>
      </c>
      <c r="M7" s="1"/>
      <c r="N7" s="13">
        <v>41062</v>
      </c>
      <c r="O7" s="1">
        <v>14358</v>
      </c>
      <c r="P7" s="1">
        <v>13879</v>
      </c>
      <c r="Q7" s="1">
        <v>4247</v>
      </c>
      <c r="R7" s="1">
        <v>22415</v>
      </c>
      <c r="S7" s="1">
        <v>1049</v>
      </c>
      <c r="T7" s="1">
        <v>5269</v>
      </c>
      <c r="U7" s="1">
        <v>328</v>
      </c>
      <c r="V7" s="1">
        <v>2176</v>
      </c>
      <c r="W7" s="1">
        <v>902</v>
      </c>
      <c r="X7" s="1"/>
      <c r="Y7" s="13">
        <v>41062</v>
      </c>
      <c r="Z7" s="12">
        <f t="shared" si="1"/>
        <v>18053</v>
      </c>
      <c r="AA7" s="12">
        <f t="shared" si="2"/>
        <v>16243</v>
      </c>
      <c r="AB7" s="12">
        <f t="shared" si="2"/>
        <v>6512</v>
      </c>
      <c r="AC7" s="12">
        <f t="shared" si="2"/>
        <v>28546</v>
      </c>
      <c r="AD7" s="12">
        <f t="shared" si="3"/>
        <v>1106</v>
      </c>
      <c r="AE7" s="12">
        <f t="shared" si="4"/>
        <v>5996</v>
      </c>
      <c r="AF7" s="12">
        <f t="shared" si="4"/>
        <v>342</v>
      </c>
      <c r="AG7" s="12">
        <f t="shared" si="4"/>
        <v>3195</v>
      </c>
      <c r="AH7" s="12">
        <f t="shared" si="4"/>
        <v>1011</v>
      </c>
      <c r="AI7" s="33">
        <f t="shared" si="0"/>
        <v>81004</v>
      </c>
      <c r="AJ7" s="6"/>
      <c r="AK7" s="6"/>
      <c r="AL7" s="9"/>
      <c r="AM7" s="9"/>
      <c r="AN7" s="9"/>
      <c r="AO7" s="9"/>
      <c r="AP7" s="9"/>
      <c r="BD7" s="10"/>
    </row>
    <row r="8" spans="1:57" ht="15.75" customHeight="1" x14ac:dyDescent="0.25">
      <c r="C8" s="13">
        <v>41063</v>
      </c>
      <c r="D8" s="1">
        <v>3723</v>
      </c>
      <c r="E8" s="1">
        <v>1204</v>
      </c>
      <c r="F8" s="1">
        <v>2024</v>
      </c>
      <c r="G8" s="1">
        <v>5648</v>
      </c>
      <c r="H8" s="1">
        <v>77</v>
      </c>
      <c r="I8" s="1">
        <v>696</v>
      </c>
      <c r="J8" s="1">
        <v>41</v>
      </c>
      <c r="K8" s="1">
        <v>1087</v>
      </c>
      <c r="L8" s="1">
        <v>57</v>
      </c>
      <c r="M8" s="1"/>
      <c r="N8" s="13">
        <v>41063</v>
      </c>
      <c r="O8" s="1">
        <v>13915</v>
      </c>
      <c r="P8" s="1">
        <v>7814</v>
      </c>
      <c r="Q8" s="1">
        <v>3949</v>
      </c>
      <c r="R8" s="1">
        <v>18166</v>
      </c>
      <c r="S8" s="1">
        <v>1691</v>
      </c>
      <c r="T8" s="1">
        <v>5606</v>
      </c>
      <c r="U8" s="1">
        <v>271</v>
      </c>
      <c r="V8" s="1">
        <v>2522</v>
      </c>
      <c r="W8" s="1">
        <v>698</v>
      </c>
      <c r="X8" s="1"/>
      <c r="Y8" s="13">
        <v>41063</v>
      </c>
      <c r="Z8" s="12">
        <f t="shared" si="1"/>
        <v>17638</v>
      </c>
      <c r="AA8" s="12">
        <f t="shared" si="2"/>
        <v>9018</v>
      </c>
      <c r="AB8" s="12">
        <f t="shared" si="2"/>
        <v>5973</v>
      </c>
      <c r="AC8" s="12">
        <f t="shared" si="2"/>
        <v>23814</v>
      </c>
      <c r="AD8" s="12">
        <f t="shared" si="3"/>
        <v>1768</v>
      </c>
      <c r="AE8" s="12">
        <f t="shared" si="4"/>
        <v>6302</v>
      </c>
      <c r="AF8" s="12">
        <f t="shared" si="4"/>
        <v>312</v>
      </c>
      <c r="AG8" s="12">
        <f t="shared" si="4"/>
        <v>3609</v>
      </c>
      <c r="AH8" s="12">
        <f t="shared" si="4"/>
        <v>755</v>
      </c>
      <c r="AI8" s="33">
        <f t="shared" si="0"/>
        <v>69189</v>
      </c>
      <c r="AJ8" s="6"/>
      <c r="AK8" s="6"/>
      <c r="AL8" s="9"/>
      <c r="AM8" s="9"/>
      <c r="AN8" s="9"/>
      <c r="AO8" s="9"/>
      <c r="AP8" s="9"/>
      <c r="BD8" s="10"/>
    </row>
    <row r="9" spans="1:57" ht="15.75" customHeight="1" x14ac:dyDescent="0.25">
      <c r="C9" s="13">
        <v>41064</v>
      </c>
      <c r="D9" s="1">
        <v>2461</v>
      </c>
      <c r="E9" s="1">
        <v>511</v>
      </c>
      <c r="F9" s="1">
        <v>1344</v>
      </c>
      <c r="G9" s="1">
        <v>2313</v>
      </c>
      <c r="H9" s="1">
        <v>63</v>
      </c>
      <c r="I9" s="1">
        <v>400</v>
      </c>
      <c r="J9" s="1">
        <v>27</v>
      </c>
      <c r="K9" s="1">
        <v>703</v>
      </c>
      <c r="L9" s="1">
        <v>56</v>
      </c>
      <c r="M9" s="1"/>
      <c r="N9" s="13">
        <v>41064</v>
      </c>
      <c r="O9" s="1">
        <v>8747</v>
      </c>
      <c r="P9" s="1">
        <v>5268</v>
      </c>
      <c r="Q9" s="1">
        <v>2668</v>
      </c>
      <c r="R9" s="1">
        <v>4742</v>
      </c>
      <c r="S9" s="1">
        <v>1069</v>
      </c>
      <c r="T9" s="1">
        <v>3695</v>
      </c>
      <c r="U9" s="1">
        <v>172</v>
      </c>
      <c r="V9" s="1">
        <v>1619</v>
      </c>
      <c r="W9" s="1">
        <v>491</v>
      </c>
      <c r="X9" s="1"/>
      <c r="Y9" s="13">
        <v>41064</v>
      </c>
      <c r="Z9" s="12">
        <f t="shared" si="1"/>
        <v>11208</v>
      </c>
      <c r="AA9" s="12">
        <f t="shared" si="2"/>
        <v>5779</v>
      </c>
      <c r="AB9" s="12">
        <f t="shared" si="2"/>
        <v>4012</v>
      </c>
      <c r="AC9" s="12">
        <f t="shared" si="2"/>
        <v>7055</v>
      </c>
      <c r="AD9" s="12">
        <f t="shared" si="3"/>
        <v>1132</v>
      </c>
      <c r="AE9" s="12">
        <f t="shared" si="4"/>
        <v>4095</v>
      </c>
      <c r="AF9" s="12">
        <f t="shared" si="4"/>
        <v>199</v>
      </c>
      <c r="AG9" s="12">
        <f t="shared" si="4"/>
        <v>2322</v>
      </c>
      <c r="AH9" s="12">
        <f t="shared" si="4"/>
        <v>547</v>
      </c>
      <c r="AI9" s="33">
        <f t="shared" si="0"/>
        <v>36349</v>
      </c>
      <c r="AJ9" s="6"/>
      <c r="AK9" s="6"/>
      <c r="AL9" s="9"/>
      <c r="AM9" s="9"/>
      <c r="AN9" s="9"/>
      <c r="AO9" s="9"/>
      <c r="AP9" s="9"/>
      <c r="BD9" s="10"/>
    </row>
    <row r="10" spans="1:57" ht="15.75" customHeight="1" x14ac:dyDescent="0.25">
      <c r="A10" s="23"/>
      <c r="B10" s="11"/>
      <c r="C10" s="13">
        <v>41065</v>
      </c>
      <c r="D10" s="1">
        <v>2035</v>
      </c>
      <c r="E10" s="1">
        <v>432</v>
      </c>
      <c r="F10" s="1">
        <v>1255</v>
      </c>
      <c r="G10" s="1">
        <v>2135</v>
      </c>
      <c r="H10" s="1">
        <v>52</v>
      </c>
      <c r="I10" s="1">
        <v>383</v>
      </c>
      <c r="J10" s="1">
        <v>4</v>
      </c>
      <c r="K10" s="1">
        <v>652</v>
      </c>
      <c r="L10" s="1">
        <v>126</v>
      </c>
      <c r="M10" s="1"/>
      <c r="N10" s="13">
        <v>41065</v>
      </c>
      <c r="O10" s="1">
        <v>8453</v>
      </c>
      <c r="P10" s="1">
        <v>5182</v>
      </c>
      <c r="Q10" s="1">
        <v>2627</v>
      </c>
      <c r="R10" s="1">
        <v>5501</v>
      </c>
      <c r="S10" s="1">
        <v>450</v>
      </c>
      <c r="T10" s="1">
        <v>5365</v>
      </c>
      <c r="U10" s="1">
        <v>183</v>
      </c>
      <c r="V10" s="1">
        <v>1977</v>
      </c>
      <c r="W10" s="1">
        <v>1513</v>
      </c>
      <c r="X10" s="1"/>
      <c r="Y10" s="13">
        <v>41065</v>
      </c>
      <c r="Z10" s="12">
        <f t="shared" si="1"/>
        <v>10488</v>
      </c>
      <c r="AA10" s="12">
        <f t="shared" si="2"/>
        <v>5614</v>
      </c>
      <c r="AB10" s="12">
        <f t="shared" si="2"/>
        <v>3882</v>
      </c>
      <c r="AC10" s="12">
        <f t="shared" si="2"/>
        <v>7636</v>
      </c>
      <c r="AD10" s="12">
        <f t="shared" si="3"/>
        <v>502</v>
      </c>
      <c r="AE10" s="12">
        <f t="shared" si="4"/>
        <v>5748</v>
      </c>
      <c r="AF10" s="12">
        <f t="shared" si="4"/>
        <v>187</v>
      </c>
      <c r="AG10" s="12">
        <f t="shared" si="4"/>
        <v>2629</v>
      </c>
      <c r="AH10" s="12">
        <f t="shared" si="4"/>
        <v>1639</v>
      </c>
      <c r="AI10" s="33">
        <f t="shared" si="0"/>
        <v>38325</v>
      </c>
      <c r="AJ10" s="6">
        <f>SUM(AI4:AI10)/7</f>
        <v>48678.285714285717</v>
      </c>
      <c r="AK10" s="6"/>
      <c r="AL10" s="9"/>
      <c r="AM10" s="9"/>
      <c r="AN10" s="9"/>
      <c r="AO10" s="9"/>
      <c r="AP10" s="9"/>
      <c r="BD10" s="10"/>
    </row>
    <row r="11" spans="1:57" ht="15.75" customHeight="1" x14ac:dyDescent="0.25">
      <c r="C11" s="13">
        <v>41066</v>
      </c>
      <c r="D11" s="1">
        <v>2497</v>
      </c>
      <c r="E11" s="1">
        <v>618</v>
      </c>
      <c r="F11" s="1">
        <v>1179</v>
      </c>
      <c r="G11" s="1">
        <v>2178</v>
      </c>
      <c r="H11" s="1">
        <v>115</v>
      </c>
      <c r="I11" s="1">
        <v>456</v>
      </c>
      <c r="J11" s="1">
        <v>4</v>
      </c>
      <c r="K11" s="1">
        <v>667</v>
      </c>
      <c r="L11" s="1">
        <v>942</v>
      </c>
      <c r="M11" s="1"/>
      <c r="N11" s="13">
        <v>41066</v>
      </c>
      <c r="O11" s="1">
        <v>9982</v>
      </c>
      <c r="P11" s="1">
        <v>8161</v>
      </c>
      <c r="Q11" s="1">
        <v>2575</v>
      </c>
      <c r="R11" s="1">
        <v>4913</v>
      </c>
      <c r="S11" s="1">
        <v>453</v>
      </c>
      <c r="T11" s="1">
        <v>4252</v>
      </c>
      <c r="U11" s="1">
        <v>235</v>
      </c>
      <c r="V11" s="1">
        <v>1615</v>
      </c>
      <c r="W11" s="1">
        <v>4986</v>
      </c>
      <c r="X11" s="1"/>
      <c r="Y11" s="13">
        <v>41066</v>
      </c>
      <c r="Z11" s="12">
        <f t="shared" si="1"/>
        <v>12479</v>
      </c>
      <c r="AA11" s="12">
        <f t="shared" si="2"/>
        <v>8779</v>
      </c>
      <c r="AB11" s="12">
        <f t="shared" si="2"/>
        <v>3754</v>
      </c>
      <c r="AC11" s="12">
        <f t="shared" si="2"/>
        <v>7091</v>
      </c>
      <c r="AD11" s="12">
        <f t="shared" si="3"/>
        <v>568</v>
      </c>
      <c r="AE11" s="12">
        <f t="shared" si="4"/>
        <v>4708</v>
      </c>
      <c r="AF11" s="12">
        <f t="shared" si="4"/>
        <v>239</v>
      </c>
      <c r="AG11" s="12">
        <f t="shared" si="4"/>
        <v>2282</v>
      </c>
      <c r="AH11" s="12">
        <f t="shared" si="4"/>
        <v>5928</v>
      </c>
      <c r="AI11" s="33">
        <f t="shared" si="0"/>
        <v>45828</v>
      </c>
      <c r="AJ11" s="6">
        <f>SUM(AI5:AI11)/7</f>
        <v>50057.857142857145</v>
      </c>
      <c r="AK11" s="6"/>
      <c r="AL11" s="9"/>
      <c r="AM11" s="9"/>
      <c r="AN11" s="9"/>
      <c r="AO11" s="9"/>
      <c r="AP11" s="9"/>
      <c r="BD11" s="10"/>
    </row>
    <row r="12" spans="1:57" ht="15.75" customHeight="1" x14ac:dyDescent="0.25">
      <c r="A12" s="24"/>
      <c r="B12" s="14"/>
      <c r="C12" s="13">
        <v>41067</v>
      </c>
      <c r="D12" s="1">
        <v>3121</v>
      </c>
      <c r="E12" s="1">
        <v>690</v>
      </c>
      <c r="F12" s="1">
        <v>1103</v>
      </c>
      <c r="G12" s="1">
        <v>2153</v>
      </c>
      <c r="H12" s="1">
        <v>110</v>
      </c>
      <c r="I12" s="1">
        <v>442</v>
      </c>
      <c r="J12" s="1">
        <v>1</v>
      </c>
      <c r="K12" s="1">
        <v>670</v>
      </c>
      <c r="L12" s="1">
        <v>852</v>
      </c>
      <c r="M12" s="1"/>
      <c r="N12" s="13">
        <v>41067</v>
      </c>
      <c r="O12" s="1">
        <v>9012</v>
      </c>
      <c r="P12" s="1">
        <v>6230</v>
      </c>
      <c r="Q12" s="1">
        <v>2506</v>
      </c>
      <c r="R12" s="1">
        <v>4689</v>
      </c>
      <c r="S12" s="1">
        <v>532</v>
      </c>
      <c r="T12" s="1">
        <v>4121</v>
      </c>
      <c r="U12" s="1">
        <v>192</v>
      </c>
      <c r="V12" s="1">
        <v>1451</v>
      </c>
      <c r="W12" s="1">
        <v>4881</v>
      </c>
      <c r="X12" s="1"/>
      <c r="Y12" s="13">
        <v>41067</v>
      </c>
      <c r="Z12" s="12">
        <f t="shared" si="1"/>
        <v>12133</v>
      </c>
      <c r="AA12" s="12">
        <f t="shared" si="2"/>
        <v>6920</v>
      </c>
      <c r="AB12" s="12">
        <f t="shared" si="2"/>
        <v>3609</v>
      </c>
      <c r="AC12" s="12">
        <f t="shared" si="2"/>
        <v>6842</v>
      </c>
      <c r="AD12" s="12">
        <f t="shared" si="3"/>
        <v>642</v>
      </c>
      <c r="AE12" s="12">
        <f t="shared" si="4"/>
        <v>4563</v>
      </c>
      <c r="AF12" s="12">
        <f t="shared" si="4"/>
        <v>193</v>
      </c>
      <c r="AG12" s="12">
        <f t="shared" si="4"/>
        <v>2121</v>
      </c>
      <c r="AH12" s="12">
        <f t="shared" si="4"/>
        <v>5733</v>
      </c>
      <c r="AI12" s="33">
        <f t="shared" si="0"/>
        <v>42756</v>
      </c>
      <c r="AJ12" s="6">
        <f t="shared" ref="AJ12:AJ43" si="5">SUM(AI6:AI12)/7</f>
        <v>50600.571428571428</v>
      </c>
      <c r="AK12" s="6"/>
      <c r="AL12" s="9"/>
      <c r="AM12" s="9"/>
      <c r="AN12" s="9"/>
      <c r="AO12" s="9"/>
      <c r="AP12" s="9"/>
    </row>
    <row r="13" spans="1:57" ht="15.75" customHeight="1" x14ac:dyDescent="0.25">
      <c r="C13" s="13">
        <v>41068</v>
      </c>
      <c r="D13" s="1">
        <v>3166</v>
      </c>
      <c r="E13" s="1">
        <v>524</v>
      </c>
      <c r="F13" s="1">
        <v>5314</v>
      </c>
      <c r="G13" s="1">
        <v>2930</v>
      </c>
      <c r="H13" s="1">
        <v>61</v>
      </c>
      <c r="I13" s="1">
        <v>755</v>
      </c>
      <c r="J13" s="1">
        <v>7</v>
      </c>
      <c r="K13" s="1">
        <v>776</v>
      </c>
      <c r="L13" s="1">
        <v>231</v>
      </c>
      <c r="M13" s="1"/>
      <c r="N13" s="13">
        <v>41068</v>
      </c>
      <c r="O13" s="1">
        <v>8028</v>
      </c>
      <c r="P13" s="1">
        <v>5173</v>
      </c>
      <c r="Q13" s="1">
        <v>7663</v>
      </c>
      <c r="R13" s="1">
        <v>6286</v>
      </c>
      <c r="S13" s="1">
        <v>369</v>
      </c>
      <c r="T13" s="1">
        <v>10319</v>
      </c>
      <c r="U13" s="1">
        <v>339</v>
      </c>
      <c r="V13" s="1">
        <v>1480</v>
      </c>
      <c r="W13" s="1">
        <v>2801</v>
      </c>
      <c r="X13" s="1"/>
      <c r="Y13" s="13">
        <v>41068</v>
      </c>
      <c r="Z13" s="12">
        <f t="shared" si="1"/>
        <v>11194</v>
      </c>
      <c r="AA13" s="12">
        <f t="shared" si="2"/>
        <v>5697</v>
      </c>
      <c r="AB13" s="12">
        <f t="shared" si="2"/>
        <v>12977</v>
      </c>
      <c r="AC13" s="12">
        <f t="shared" si="2"/>
        <v>9216</v>
      </c>
      <c r="AD13" s="12">
        <f t="shared" si="3"/>
        <v>430</v>
      </c>
      <c r="AE13" s="12">
        <f t="shared" si="4"/>
        <v>11074</v>
      </c>
      <c r="AF13" s="12">
        <f t="shared" si="4"/>
        <v>346</v>
      </c>
      <c r="AG13" s="12">
        <f t="shared" si="4"/>
        <v>2256</v>
      </c>
      <c r="AH13" s="12">
        <f t="shared" si="4"/>
        <v>3032</v>
      </c>
      <c r="AI13" s="33">
        <f t="shared" si="0"/>
        <v>56222</v>
      </c>
      <c r="AJ13" s="6">
        <f t="shared" si="5"/>
        <v>52810.428571428572</v>
      </c>
      <c r="AK13" s="6"/>
      <c r="AL13" s="9"/>
      <c r="AM13" s="9"/>
      <c r="AN13" s="9"/>
      <c r="AO13" s="9"/>
      <c r="AP13" s="9"/>
    </row>
    <row r="14" spans="1:57" ht="15.75" customHeight="1" x14ac:dyDescent="0.25">
      <c r="C14" s="13">
        <v>41069</v>
      </c>
      <c r="D14" s="1">
        <v>6826</v>
      </c>
      <c r="E14" s="1">
        <v>547</v>
      </c>
      <c r="F14" s="1">
        <v>1943</v>
      </c>
      <c r="G14" s="1">
        <v>10103</v>
      </c>
      <c r="H14" s="1">
        <v>27</v>
      </c>
      <c r="I14" s="1">
        <v>2399</v>
      </c>
      <c r="J14" s="1">
        <v>10</v>
      </c>
      <c r="K14" s="1">
        <v>1061</v>
      </c>
      <c r="L14" s="1">
        <v>824</v>
      </c>
      <c r="M14" s="1"/>
      <c r="N14" s="13">
        <v>41069</v>
      </c>
      <c r="O14" s="1">
        <v>15840</v>
      </c>
      <c r="P14" s="1">
        <v>6576</v>
      </c>
      <c r="Q14" s="1">
        <v>3548</v>
      </c>
      <c r="R14" s="1">
        <v>41795</v>
      </c>
      <c r="S14" s="1">
        <v>968</v>
      </c>
      <c r="T14" s="1">
        <v>12107</v>
      </c>
      <c r="U14" s="1">
        <v>591</v>
      </c>
      <c r="V14" s="1">
        <v>2368</v>
      </c>
      <c r="W14" s="1">
        <v>2881</v>
      </c>
      <c r="X14" s="1"/>
      <c r="Y14" s="13">
        <v>41069</v>
      </c>
      <c r="Z14" s="12">
        <f t="shared" si="1"/>
        <v>22666</v>
      </c>
      <c r="AA14" s="12">
        <f t="shared" si="2"/>
        <v>7123</v>
      </c>
      <c r="AB14" s="12">
        <f t="shared" si="2"/>
        <v>5491</v>
      </c>
      <c r="AC14" s="12">
        <f t="shared" si="2"/>
        <v>51898</v>
      </c>
      <c r="AD14" s="12">
        <f t="shared" si="3"/>
        <v>995</v>
      </c>
      <c r="AE14" s="12">
        <f t="shared" si="4"/>
        <v>14506</v>
      </c>
      <c r="AF14" s="12">
        <f t="shared" si="4"/>
        <v>601</v>
      </c>
      <c r="AG14" s="12">
        <f t="shared" si="4"/>
        <v>3429</v>
      </c>
      <c r="AH14" s="12">
        <f t="shared" si="4"/>
        <v>3705</v>
      </c>
      <c r="AI14" s="33">
        <f t="shared" si="0"/>
        <v>110414</v>
      </c>
      <c r="AJ14" s="6">
        <f t="shared" si="5"/>
        <v>57011.857142857145</v>
      </c>
      <c r="AK14" s="6"/>
      <c r="AL14" s="9"/>
      <c r="AM14" s="9"/>
      <c r="AN14" s="9"/>
      <c r="AO14" s="9"/>
      <c r="AP14" s="9"/>
    </row>
    <row r="15" spans="1:57" ht="15.75" customHeight="1" x14ac:dyDescent="0.25">
      <c r="C15" s="13">
        <v>41070</v>
      </c>
      <c r="D15" s="1">
        <v>4292</v>
      </c>
      <c r="E15" s="1">
        <v>752</v>
      </c>
      <c r="F15" s="1">
        <v>1802</v>
      </c>
      <c r="G15" s="1">
        <v>12512</v>
      </c>
      <c r="H15" s="1">
        <v>189</v>
      </c>
      <c r="I15" s="1">
        <v>831</v>
      </c>
      <c r="J15" s="1">
        <v>5</v>
      </c>
      <c r="K15" s="1">
        <v>1000</v>
      </c>
      <c r="L15" s="1">
        <v>522</v>
      </c>
      <c r="M15" s="1"/>
      <c r="N15" s="13">
        <v>41070</v>
      </c>
      <c r="O15" s="1">
        <v>14112</v>
      </c>
      <c r="P15" s="1">
        <v>11079</v>
      </c>
      <c r="Q15" s="1">
        <v>4088</v>
      </c>
      <c r="R15" s="1">
        <v>39398</v>
      </c>
      <c r="S15" s="1">
        <v>767</v>
      </c>
      <c r="T15" s="1">
        <v>7205</v>
      </c>
      <c r="U15" s="1">
        <v>270</v>
      </c>
      <c r="V15" s="1">
        <v>1757</v>
      </c>
      <c r="W15" s="1">
        <v>4695</v>
      </c>
      <c r="X15" s="1"/>
      <c r="Y15" s="13">
        <v>41070</v>
      </c>
      <c r="Z15" s="12">
        <f t="shared" si="1"/>
        <v>18404</v>
      </c>
      <c r="AA15" s="12">
        <f t="shared" si="2"/>
        <v>11831</v>
      </c>
      <c r="AB15" s="12">
        <f t="shared" si="2"/>
        <v>5890</v>
      </c>
      <c r="AC15" s="12">
        <f t="shared" si="2"/>
        <v>51910</v>
      </c>
      <c r="AD15" s="12">
        <f t="shared" si="3"/>
        <v>956</v>
      </c>
      <c r="AE15" s="12">
        <f t="shared" si="4"/>
        <v>8036</v>
      </c>
      <c r="AF15" s="12">
        <f t="shared" si="4"/>
        <v>275</v>
      </c>
      <c r="AG15" s="12">
        <f t="shared" si="4"/>
        <v>2757</v>
      </c>
      <c r="AH15" s="12">
        <f t="shared" si="4"/>
        <v>5217</v>
      </c>
      <c r="AI15" s="33">
        <f t="shared" si="0"/>
        <v>105276</v>
      </c>
      <c r="AJ15" s="6">
        <f t="shared" si="5"/>
        <v>62167.142857142855</v>
      </c>
      <c r="AK15" s="6"/>
      <c r="AL15" s="9"/>
      <c r="AM15" s="9"/>
      <c r="AN15" s="9"/>
      <c r="AO15" s="9"/>
      <c r="AP15" s="9"/>
    </row>
    <row r="16" spans="1:57" ht="15.75" customHeight="1" x14ac:dyDescent="0.25">
      <c r="C16" s="13">
        <v>41071</v>
      </c>
      <c r="D16" s="1">
        <v>2990</v>
      </c>
      <c r="E16" s="1">
        <v>378</v>
      </c>
      <c r="F16" s="1">
        <v>1208</v>
      </c>
      <c r="G16" s="1">
        <v>3808</v>
      </c>
      <c r="H16" s="1">
        <v>100</v>
      </c>
      <c r="I16" s="1">
        <v>512</v>
      </c>
      <c r="J16" s="1">
        <v>4</v>
      </c>
      <c r="K16" s="1">
        <v>561</v>
      </c>
      <c r="L16" s="1">
        <v>300</v>
      </c>
      <c r="M16" s="1"/>
      <c r="N16" s="13">
        <v>41071</v>
      </c>
      <c r="O16" s="1">
        <v>8842</v>
      </c>
      <c r="P16" s="1">
        <v>7115</v>
      </c>
      <c r="Q16" s="1">
        <v>3027</v>
      </c>
      <c r="R16" s="1">
        <v>9108</v>
      </c>
      <c r="S16" s="1">
        <v>498</v>
      </c>
      <c r="T16" s="1">
        <v>4951</v>
      </c>
      <c r="U16" s="1">
        <v>170</v>
      </c>
      <c r="V16" s="1">
        <v>1055</v>
      </c>
      <c r="W16" s="1">
        <v>3219</v>
      </c>
      <c r="X16" s="1"/>
      <c r="Y16" s="13">
        <v>41071</v>
      </c>
      <c r="Z16" s="12">
        <f t="shared" si="1"/>
        <v>11832</v>
      </c>
      <c r="AA16" s="12">
        <f t="shared" si="2"/>
        <v>7493</v>
      </c>
      <c r="AB16" s="12">
        <f t="shared" si="2"/>
        <v>4235</v>
      </c>
      <c r="AC16" s="12">
        <f t="shared" si="2"/>
        <v>12916</v>
      </c>
      <c r="AD16" s="12">
        <f t="shared" si="3"/>
        <v>598</v>
      </c>
      <c r="AE16" s="12">
        <f t="shared" si="4"/>
        <v>5463</v>
      </c>
      <c r="AF16" s="12">
        <f t="shared" si="4"/>
        <v>174</v>
      </c>
      <c r="AG16" s="12">
        <f t="shared" si="4"/>
        <v>1616</v>
      </c>
      <c r="AH16" s="12">
        <f t="shared" si="4"/>
        <v>3519</v>
      </c>
      <c r="AI16" s="33">
        <f t="shared" si="0"/>
        <v>47846</v>
      </c>
      <c r="AJ16" s="6">
        <f t="shared" si="5"/>
        <v>63809.571428571428</v>
      </c>
      <c r="AK16" s="6"/>
      <c r="AL16" s="9"/>
      <c r="AM16" s="9"/>
      <c r="AN16" s="9"/>
      <c r="AO16" s="9"/>
      <c r="AP16" s="9"/>
    </row>
    <row r="17" spans="1:42" ht="15.75" customHeight="1" x14ac:dyDescent="0.25">
      <c r="C17" s="13">
        <v>41072</v>
      </c>
      <c r="D17" s="1">
        <v>2681</v>
      </c>
      <c r="E17" s="1">
        <v>484</v>
      </c>
      <c r="F17" s="1">
        <v>1440</v>
      </c>
      <c r="G17" s="1">
        <v>4724</v>
      </c>
      <c r="H17" s="1">
        <v>304</v>
      </c>
      <c r="I17" s="1">
        <v>486</v>
      </c>
      <c r="J17" s="1">
        <v>8</v>
      </c>
      <c r="K17" s="1">
        <v>906</v>
      </c>
      <c r="L17" s="1">
        <v>323</v>
      </c>
      <c r="M17" s="1"/>
      <c r="N17" s="13">
        <v>41072</v>
      </c>
      <c r="O17" s="1">
        <v>9862</v>
      </c>
      <c r="P17" s="1">
        <v>6304</v>
      </c>
      <c r="Q17" s="1">
        <v>3273</v>
      </c>
      <c r="R17" s="1">
        <v>10000</v>
      </c>
      <c r="S17" s="1">
        <v>617</v>
      </c>
      <c r="T17" s="1">
        <v>4384</v>
      </c>
      <c r="U17" s="1">
        <v>202</v>
      </c>
      <c r="V17" s="1">
        <v>1403</v>
      </c>
      <c r="W17" s="1">
        <v>2811</v>
      </c>
      <c r="X17" s="1"/>
      <c r="Y17" s="13">
        <v>41072</v>
      </c>
      <c r="Z17" s="12">
        <f t="shared" si="1"/>
        <v>12543</v>
      </c>
      <c r="AA17" s="12">
        <f t="shared" si="2"/>
        <v>6788</v>
      </c>
      <c r="AB17" s="12">
        <f t="shared" si="2"/>
        <v>4713</v>
      </c>
      <c r="AC17" s="12">
        <f t="shared" si="2"/>
        <v>14724</v>
      </c>
      <c r="AD17" s="12">
        <f t="shared" si="3"/>
        <v>921</v>
      </c>
      <c r="AE17" s="12">
        <f t="shared" si="4"/>
        <v>4870</v>
      </c>
      <c r="AF17" s="12">
        <f t="shared" si="4"/>
        <v>210</v>
      </c>
      <c r="AG17" s="12">
        <f t="shared" si="4"/>
        <v>2309</v>
      </c>
      <c r="AH17" s="12">
        <f t="shared" si="4"/>
        <v>3134</v>
      </c>
      <c r="AI17" s="33">
        <f t="shared" si="0"/>
        <v>50212</v>
      </c>
      <c r="AJ17" s="6">
        <f t="shared" si="5"/>
        <v>65507.714285714283</v>
      </c>
      <c r="AK17" s="6"/>
      <c r="AL17" s="9"/>
      <c r="AM17" s="9"/>
      <c r="AN17" s="9"/>
      <c r="AO17" s="9"/>
      <c r="AP17" s="9"/>
    </row>
    <row r="18" spans="1:42" ht="15.75" customHeight="1" x14ac:dyDescent="0.25">
      <c r="C18" s="13">
        <v>41073</v>
      </c>
      <c r="D18" s="1">
        <v>2165</v>
      </c>
      <c r="E18" s="1">
        <v>633</v>
      </c>
      <c r="F18" s="1">
        <v>1054</v>
      </c>
      <c r="G18" s="1">
        <v>3008</v>
      </c>
      <c r="H18" s="1">
        <v>135</v>
      </c>
      <c r="I18" s="1">
        <v>378</v>
      </c>
      <c r="J18" s="1">
        <v>6</v>
      </c>
      <c r="K18" s="1">
        <v>523</v>
      </c>
      <c r="L18" s="1">
        <v>346</v>
      </c>
      <c r="M18" s="1"/>
      <c r="N18" s="13">
        <v>41073</v>
      </c>
      <c r="O18" s="1">
        <v>14000</v>
      </c>
      <c r="P18" s="1">
        <v>9184</v>
      </c>
      <c r="Q18" s="1">
        <v>2057</v>
      </c>
      <c r="R18" s="1">
        <v>7702</v>
      </c>
      <c r="S18" s="1">
        <v>898</v>
      </c>
      <c r="T18" s="1">
        <v>6070</v>
      </c>
      <c r="U18" s="1">
        <v>189</v>
      </c>
      <c r="V18" s="1">
        <v>855</v>
      </c>
      <c r="W18" s="1">
        <v>2977</v>
      </c>
      <c r="X18" s="1"/>
      <c r="Y18" s="13">
        <v>41073</v>
      </c>
      <c r="Z18" s="12">
        <f t="shared" si="1"/>
        <v>16165</v>
      </c>
      <c r="AA18" s="12">
        <f t="shared" si="2"/>
        <v>9817</v>
      </c>
      <c r="AB18" s="12">
        <f t="shared" si="2"/>
        <v>3111</v>
      </c>
      <c r="AC18" s="12">
        <f t="shared" si="2"/>
        <v>10710</v>
      </c>
      <c r="AD18" s="12">
        <f t="shared" si="3"/>
        <v>1033</v>
      </c>
      <c r="AE18" s="12">
        <f t="shared" si="4"/>
        <v>6448</v>
      </c>
      <c r="AF18" s="12">
        <f t="shared" si="4"/>
        <v>195</v>
      </c>
      <c r="AG18" s="12">
        <f t="shared" si="4"/>
        <v>1378</v>
      </c>
      <c r="AH18" s="12">
        <f t="shared" si="4"/>
        <v>3323</v>
      </c>
      <c r="AI18" s="33">
        <f t="shared" si="0"/>
        <v>52180</v>
      </c>
      <c r="AJ18" s="6">
        <f t="shared" si="5"/>
        <v>66415.142857142855</v>
      </c>
      <c r="AK18" s="6"/>
      <c r="AL18" s="9"/>
      <c r="AM18" s="9"/>
      <c r="AN18" s="9"/>
      <c r="AO18" s="9"/>
      <c r="AP18" s="9"/>
    </row>
    <row r="19" spans="1:42" ht="15.75" customHeight="1" x14ac:dyDescent="0.25">
      <c r="C19" s="13">
        <v>41074</v>
      </c>
      <c r="D19" s="1">
        <v>2654</v>
      </c>
      <c r="E19" s="1">
        <v>490</v>
      </c>
      <c r="F19" s="1">
        <v>1523</v>
      </c>
      <c r="G19" s="1">
        <v>2224</v>
      </c>
      <c r="H19" s="1">
        <v>134</v>
      </c>
      <c r="I19" s="1">
        <v>463</v>
      </c>
      <c r="J19" s="1">
        <v>11</v>
      </c>
      <c r="K19" s="1">
        <v>438</v>
      </c>
      <c r="L19" s="1">
        <v>173</v>
      </c>
      <c r="M19" s="1"/>
      <c r="N19" s="13">
        <v>41074</v>
      </c>
      <c r="O19" s="1">
        <v>9446</v>
      </c>
      <c r="P19" s="1">
        <v>5369</v>
      </c>
      <c r="Q19" s="1">
        <v>2691</v>
      </c>
      <c r="R19" s="1">
        <v>7059</v>
      </c>
      <c r="S19" s="1">
        <v>536</v>
      </c>
      <c r="T19" s="1">
        <v>6889</v>
      </c>
      <c r="U19" s="1">
        <v>165</v>
      </c>
      <c r="V19" s="1">
        <v>1384</v>
      </c>
      <c r="W19" s="1">
        <v>1456</v>
      </c>
      <c r="X19" s="1"/>
      <c r="Y19" s="13">
        <v>41074</v>
      </c>
      <c r="Z19" s="12">
        <f t="shared" si="1"/>
        <v>12100</v>
      </c>
      <c r="AA19" s="12">
        <f t="shared" si="2"/>
        <v>5859</v>
      </c>
      <c r="AB19" s="12">
        <f t="shared" si="2"/>
        <v>4214</v>
      </c>
      <c r="AC19" s="12">
        <f t="shared" si="2"/>
        <v>9283</v>
      </c>
      <c r="AD19" s="12">
        <f t="shared" si="3"/>
        <v>670</v>
      </c>
      <c r="AE19" s="12">
        <f t="shared" si="4"/>
        <v>7352</v>
      </c>
      <c r="AF19" s="12">
        <f t="shared" si="4"/>
        <v>176</v>
      </c>
      <c r="AG19" s="12">
        <f t="shared" si="4"/>
        <v>1822</v>
      </c>
      <c r="AH19" s="12">
        <f t="shared" si="4"/>
        <v>1629</v>
      </c>
      <c r="AI19" s="33">
        <f t="shared" si="0"/>
        <v>43105</v>
      </c>
      <c r="AJ19" s="6">
        <f t="shared" si="5"/>
        <v>66465</v>
      </c>
      <c r="AK19" s="6"/>
      <c r="AL19" s="9"/>
      <c r="AM19" s="9"/>
      <c r="AN19" s="9"/>
      <c r="AO19" s="9"/>
      <c r="AP19" s="9"/>
    </row>
    <row r="20" spans="1:42" ht="15.75" customHeight="1" x14ac:dyDescent="0.25">
      <c r="C20" s="13">
        <v>41075</v>
      </c>
      <c r="D20" s="1">
        <v>3702</v>
      </c>
      <c r="E20" s="1">
        <v>643</v>
      </c>
      <c r="F20" s="1">
        <v>1088</v>
      </c>
      <c r="G20" s="1">
        <v>2391</v>
      </c>
      <c r="H20" s="1">
        <v>74</v>
      </c>
      <c r="I20" s="1">
        <v>394</v>
      </c>
      <c r="J20" s="1">
        <v>21</v>
      </c>
      <c r="K20" s="1">
        <v>444</v>
      </c>
      <c r="L20" s="1">
        <v>130</v>
      </c>
      <c r="M20" s="1"/>
      <c r="N20" s="13">
        <v>41075</v>
      </c>
      <c r="O20" s="1">
        <v>13000</v>
      </c>
      <c r="P20" s="1">
        <v>6576</v>
      </c>
      <c r="Q20" s="1">
        <v>2294</v>
      </c>
      <c r="R20" s="1">
        <v>6626</v>
      </c>
      <c r="S20" s="1">
        <v>394</v>
      </c>
      <c r="T20" s="1">
        <v>5207</v>
      </c>
      <c r="U20" s="1">
        <v>392</v>
      </c>
      <c r="V20" s="1">
        <v>929</v>
      </c>
      <c r="W20" s="1">
        <v>1742</v>
      </c>
      <c r="X20" s="1"/>
      <c r="Y20" s="13">
        <v>41075</v>
      </c>
      <c r="Z20" s="12">
        <f t="shared" si="1"/>
        <v>16702</v>
      </c>
      <c r="AA20" s="12">
        <f t="shared" ref="AA20:AA54" si="6">SUM(E20+P20)</f>
        <v>7219</v>
      </c>
      <c r="AB20" s="12">
        <f t="shared" ref="AB20:AB54" si="7">SUM(F20+Q20)</f>
        <v>3382</v>
      </c>
      <c r="AC20" s="12">
        <f t="shared" ref="AC20:AC54" si="8">SUM(G20+R20)</f>
        <v>9017</v>
      </c>
      <c r="AD20" s="12">
        <f t="shared" si="3"/>
        <v>468</v>
      </c>
      <c r="AE20" s="12">
        <f t="shared" si="4"/>
        <v>5601</v>
      </c>
      <c r="AF20" s="12">
        <f t="shared" si="4"/>
        <v>413</v>
      </c>
      <c r="AG20" s="12">
        <f t="shared" si="4"/>
        <v>1373</v>
      </c>
      <c r="AH20" s="12">
        <f t="shared" si="4"/>
        <v>1872</v>
      </c>
      <c r="AI20" s="33">
        <f t="shared" si="0"/>
        <v>46047</v>
      </c>
      <c r="AJ20" s="6">
        <f t="shared" si="5"/>
        <v>65011.428571428572</v>
      </c>
      <c r="AK20" s="6"/>
      <c r="AL20" s="9"/>
      <c r="AM20" s="9"/>
      <c r="AN20" s="9"/>
      <c r="AO20" s="9"/>
      <c r="AP20" s="9"/>
    </row>
    <row r="21" spans="1:42" ht="15.75" customHeight="1" x14ac:dyDescent="0.25">
      <c r="C21" s="13">
        <v>41076</v>
      </c>
      <c r="D21" s="1">
        <v>2950</v>
      </c>
      <c r="E21" s="1">
        <v>1256</v>
      </c>
      <c r="F21" s="1">
        <v>1647</v>
      </c>
      <c r="G21" s="1">
        <v>14232</v>
      </c>
      <c r="H21" s="1">
        <v>101</v>
      </c>
      <c r="I21" s="1">
        <v>719</v>
      </c>
      <c r="J21" s="1">
        <v>28</v>
      </c>
      <c r="K21" s="1">
        <v>603</v>
      </c>
      <c r="L21" s="1">
        <v>201</v>
      </c>
      <c r="M21" s="1"/>
      <c r="N21" s="13">
        <v>41076</v>
      </c>
      <c r="O21" s="1">
        <v>17815</v>
      </c>
      <c r="P21" s="1">
        <v>11338</v>
      </c>
      <c r="Q21" s="1">
        <v>6074</v>
      </c>
      <c r="R21" s="1">
        <v>70845</v>
      </c>
      <c r="S21" s="1">
        <v>1061</v>
      </c>
      <c r="T21" s="1">
        <v>5136</v>
      </c>
      <c r="U21" s="1">
        <v>357</v>
      </c>
      <c r="V21" s="1">
        <v>1781</v>
      </c>
      <c r="W21" s="1">
        <v>1778</v>
      </c>
      <c r="X21" s="1"/>
      <c r="Y21" s="13">
        <v>41076</v>
      </c>
      <c r="Z21" s="12">
        <f t="shared" si="1"/>
        <v>20765</v>
      </c>
      <c r="AA21" s="12">
        <f t="shared" si="6"/>
        <v>12594</v>
      </c>
      <c r="AB21" s="12">
        <f t="shared" si="7"/>
        <v>7721</v>
      </c>
      <c r="AC21" s="12">
        <f t="shared" si="8"/>
        <v>85077</v>
      </c>
      <c r="AD21" s="12">
        <f t="shared" si="3"/>
        <v>1162</v>
      </c>
      <c r="AE21" s="12">
        <f t="shared" si="4"/>
        <v>5855</v>
      </c>
      <c r="AF21" s="12">
        <f t="shared" si="4"/>
        <v>385</v>
      </c>
      <c r="AG21" s="12">
        <f t="shared" si="4"/>
        <v>2384</v>
      </c>
      <c r="AH21" s="12">
        <f t="shared" si="4"/>
        <v>1979</v>
      </c>
      <c r="AI21" s="33">
        <f t="shared" si="0"/>
        <v>137922</v>
      </c>
      <c r="AJ21" s="6">
        <f t="shared" si="5"/>
        <v>68941.142857142855</v>
      </c>
      <c r="AK21" s="6"/>
      <c r="AL21" s="9"/>
      <c r="AM21" s="9"/>
      <c r="AN21" s="9"/>
      <c r="AO21" s="9"/>
      <c r="AP21" s="9"/>
    </row>
    <row r="22" spans="1:42" ht="15.75" customHeight="1" x14ac:dyDescent="0.25">
      <c r="C22" s="13">
        <v>41077</v>
      </c>
      <c r="D22" s="1">
        <v>3316</v>
      </c>
      <c r="E22" s="1">
        <v>965</v>
      </c>
      <c r="F22" s="1">
        <v>1454</v>
      </c>
      <c r="G22" s="1">
        <v>11603</v>
      </c>
      <c r="H22" s="1">
        <v>114</v>
      </c>
      <c r="I22" s="1">
        <v>684</v>
      </c>
      <c r="J22" s="1">
        <v>7</v>
      </c>
      <c r="K22" s="1">
        <v>499</v>
      </c>
      <c r="L22" s="1">
        <v>191</v>
      </c>
      <c r="M22" s="1"/>
      <c r="N22" s="13">
        <v>41077</v>
      </c>
      <c r="O22" s="1">
        <v>20225</v>
      </c>
      <c r="P22" s="1">
        <v>9432</v>
      </c>
      <c r="Q22" s="1">
        <v>3674</v>
      </c>
      <c r="R22" s="1">
        <v>56783</v>
      </c>
      <c r="S22" s="1">
        <v>2048</v>
      </c>
      <c r="T22" s="1">
        <v>4958</v>
      </c>
      <c r="U22" s="1">
        <v>152</v>
      </c>
      <c r="V22" s="1">
        <v>850</v>
      </c>
      <c r="W22" s="1">
        <v>1497</v>
      </c>
      <c r="X22" s="1"/>
      <c r="Y22" s="13">
        <v>41077</v>
      </c>
      <c r="Z22" s="12">
        <f t="shared" si="1"/>
        <v>23541</v>
      </c>
      <c r="AA22" s="12">
        <f t="shared" si="6"/>
        <v>10397</v>
      </c>
      <c r="AB22" s="12">
        <f t="shared" si="7"/>
        <v>5128</v>
      </c>
      <c r="AC22" s="12">
        <f t="shared" si="8"/>
        <v>68386</v>
      </c>
      <c r="AD22" s="12">
        <f t="shared" si="3"/>
        <v>2162</v>
      </c>
      <c r="AE22" s="12">
        <f t="shared" si="4"/>
        <v>5642</v>
      </c>
      <c r="AF22" s="12">
        <f t="shared" si="4"/>
        <v>159</v>
      </c>
      <c r="AG22" s="12">
        <f t="shared" si="4"/>
        <v>1349</v>
      </c>
      <c r="AH22" s="12">
        <f t="shared" si="4"/>
        <v>1688</v>
      </c>
      <c r="AI22" s="33">
        <f t="shared" si="0"/>
        <v>118452</v>
      </c>
      <c r="AJ22" s="6">
        <f>SUM(AI16:AI22)/7</f>
        <v>70823.428571428565</v>
      </c>
      <c r="AK22" s="6"/>
      <c r="AL22" s="9"/>
      <c r="AM22" s="9"/>
      <c r="AN22" s="9"/>
      <c r="AO22" s="9"/>
      <c r="AP22" s="9"/>
    </row>
    <row r="23" spans="1:42" ht="15.75" customHeight="1" x14ac:dyDescent="0.25">
      <c r="C23" s="13">
        <v>41078</v>
      </c>
      <c r="D23" s="1">
        <v>2349</v>
      </c>
      <c r="E23" s="1">
        <v>504</v>
      </c>
      <c r="F23" s="1">
        <v>1086</v>
      </c>
      <c r="G23" s="1">
        <v>4592</v>
      </c>
      <c r="H23" s="1">
        <v>55</v>
      </c>
      <c r="I23" s="1">
        <v>410</v>
      </c>
      <c r="J23" s="1">
        <v>4</v>
      </c>
      <c r="K23" s="1">
        <v>287</v>
      </c>
      <c r="L23" s="1">
        <v>107</v>
      </c>
      <c r="M23" s="1"/>
      <c r="N23" s="13">
        <v>41078</v>
      </c>
      <c r="O23" s="1">
        <v>12000</v>
      </c>
      <c r="P23" s="1">
        <v>6034</v>
      </c>
      <c r="Q23" s="1">
        <v>2392</v>
      </c>
      <c r="R23" s="1">
        <v>9791</v>
      </c>
      <c r="S23" s="1">
        <v>1532</v>
      </c>
      <c r="T23" s="1">
        <v>3390</v>
      </c>
      <c r="U23" s="1">
        <v>63</v>
      </c>
      <c r="V23" s="1">
        <v>522</v>
      </c>
      <c r="W23" s="1">
        <v>967</v>
      </c>
      <c r="X23" s="1"/>
      <c r="Y23" s="13">
        <v>41078</v>
      </c>
      <c r="Z23" s="12">
        <f t="shared" si="1"/>
        <v>14349</v>
      </c>
      <c r="AA23" s="12">
        <f t="shared" si="6"/>
        <v>6538</v>
      </c>
      <c r="AB23" s="12">
        <f t="shared" si="7"/>
        <v>3478</v>
      </c>
      <c r="AC23" s="12">
        <f t="shared" si="8"/>
        <v>14383</v>
      </c>
      <c r="AD23" s="12">
        <f t="shared" si="3"/>
        <v>1587</v>
      </c>
      <c r="AE23" s="12">
        <f t="shared" si="4"/>
        <v>3800</v>
      </c>
      <c r="AF23" s="12">
        <f t="shared" si="4"/>
        <v>67</v>
      </c>
      <c r="AG23" s="12">
        <f t="shared" si="4"/>
        <v>809</v>
      </c>
      <c r="AH23" s="12">
        <f t="shared" si="4"/>
        <v>1074</v>
      </c>
      <c r="AI23" s="33">
        <f t="shared" si="0"/>
        <v>46085</v>
      </c>
      <c r="AJ23" s="6">
        <f t="shared" si="5"/>
        <v>70571.857142857145</v>
      </c>
      <c r="AK23" s="6"/>
      <c r="AL23" s="9"/>
      <c r="AM23" s="9"/>
      <c r="AN23" s="9"/>
      <c r="AO23" s="9"/>
      <c r="AP23" s="9"/>
    </row>
    <row r="24" spans="1:42" ht="15.75" customHeight="1" x14ac:dyDescent="0.25">
      <c r="C24" s="13">
        <v>41079</v>
      </c>
      <c r="D24" s="1">
        <v>2313</v>
      </c>
      <c r="E24" s="1">
        <v>520</v>
      </c>
      <c r="F24" s="1">
        <v>1101</v>
      </c>
      <c r="G24" s="1">
        <v>3364</v>
      </c>
      <c r="H24" s="1">
        <v>83</v>
      </c>
      <c r="I24" s="1">
        <v>484</v>
      </c>
      <c r="J24" s="1">
        <v>2</v>
      </c>
      <c r="K24" s="1">
        <v>406</v>
      </c>
      <c r="L24" s="1">
        <v>86</v>
      </c>
      <c r="M24" s="1"/>
      <c r="N24" s="13">
        <v>41079</v>
      </c>
      <c r="O24" s="1">
        <v>13000</v>
      </c>
      <c r="P24" s="1">
        <v>9005</v>
      </c>
      <c r="Q24" s="1">
        <v>3997</v>
      </c>
      <c r="R24" s="1">
        <v>7844</v>
      </c>
      <c r="S24" s="1">
        <v>572</v>
      </c>
      <c r="T24" s="1">
        <v>4288</v>
      </c>
      <c r="U24" s="1">
        <v>254</v>
      </c>
      <c r="V24" s="1">
        <v>1146</v>
      </c>
      <c r="W24" s="1">
        <v>986</v>
      </c>
      <c r="X24" s="1"/>
      <c r="Y24" s="13">
        <v>41079</v>
      </c>
      <c r="Z24" s="12">
        <f t="shared" si="1"/>
        <v>15313</v>
      </c>
      <c r="AA24" s="12">
        <f t="shared" si="6"/>
        <v>9525</v>
      </c>
      <c r="AB24" s="12">
        <f t="shared" si="7"/>
        <v>5098</v>
      </c>
      <c r="AC24" s="12">
        <f t="shared" si="8"/>
        <v>11208</v>
      </c>
      <c r="AD24" s="12">
        <f t="shared" si="3"/>
        <v>655</v>
      </c>
      <c r="AE24" s="12">
        <f t="shared" si="4"/>
        <v>4772</v>
      </c>
      <c r="AF24" s="12">
        <f t="shared" si="4"/>
        <v>256</v>
      </c>
      <c r="AG24" s="12">
        <f t="shared" si="4"/>
        <v>1552</v>
      </c>
      <c r="AH24" s="12">
        <f t="shared" si="4"/>
        <v>1072</v>
      </c>
      <c r="AI24" s="33">
        <f t="shared" si="0"/>
        <v>49451</v>
      </c>
      <c r="AJ24" s="6">
        <f t="shared" si="5"/>
        <v>70463.142857142855</v>
      </c>
      <c r="AK24" s="6"/>
      <c r="AL24" s="9"/>
      <c r="AM24" s="9"/>
      <c r="AN24" s="9"/>
      <c r="AO24" s="9"/>
      <c r="AP24" s="9"/>
    </row>
    <row r="25" spans="1:42" ht="15.75" customHeight="1" x14ac:dyDescent="0.25">
      <c r="C25" s="13">
        <v>41080</v>
      </c>
      <c r="D25" s="1">
        <v>2130</v>
      </c>
      <c r="E25" s="1">
        <v>465</v>
      </c>
      <c r="F25" s="1">
        <v>1952</v>
      </c>
      <c r="G25" s="1">
        <v>2990</v>
      </c>
      <c r="H25" s="1">
        <v>115</v>
      </c>
      <c r="I25" s="1">
        <v>519</v>
      </c>
      <c r="J25" s="1">
        <v>0</v>
      </c>
      <c r="K25" s="1">
        <v>447</v>
      </c>
      <c r="L25" s="1">
        <v>253</v>
      </c>
      <c r="M25" s="1"/>
      <c r="N25" s="13">
        <v>41080</v>
      </c>
      <c r="O25" s="1">
        <v>9507</v>
      </c>
      <c r="P25" s="1">
        <v>6235</v>
      </c>
      <c r="Q25" s="1">
        <v>5928</v>
      </c>
      <c r="R25" s="1">
        <v>6975</v>
      </c>
      <c r="S25" s="1">
        <v>520</v>
      </c>
      <c r="T25" s="1">
        <v>4658</v>
      </c>
      <c r="U25" s="1">
        <v>210</v>
      </c>
      <c r="V25" s="1">
        <v>984</v>
      </c>
      <c r="W25" s="1">
        <v>1553</v>
      </c>
      <c r="X25" s="1"/>
      <c r="Y25" s="13">
        <v>41080</v>
      </c>
      <c r="Z25" s="12">
        <f t="shared" si="1"/>
        <v>11637</v>
      </c>
      <c r="AA25" s="12">
        <f t="shared" si="6"/>
        <v>6700</v>
      </c>
      <c r="AB25" s="12">
        <f t="shared" si="7"/>
        <v>7880</v>
      </c>
      <c r="AC25" s="12">
        <f t="shared" si="8"/>
        <v>9965</v>
      </c>
      <c r="AD25" s="12">
        <f t="shared" si="3"/>
        <v>635</v>
      </c>
      <c r="AE25" s="12">
        <f t="shared" si="4"/>
        <v>5177</v>
      </c>
      <c r="AF25" s="12">
        <f t="shared" si="4"/>
        <v>210</v>
      </c>
      <c r="AG25" s="12">
        <f t="shared" si="4"/>
        <v>1431</v>
      </c>
      <c r="AH25" s="12">
        <f t="shared" si="4"/>
        <v>1806</v>
      </c>
      <c r="AI25" s="33">
        <f t="shared" si="0"/>
        <v>45441</v>
      </c>
      <c r="AJ25" s="6">
        <f t="shared" si="5"/>
        <v>69500.428571428565</v>
      </c>
      <c r="AK25" s="6"/>
      <c r="AL25" s="9"/>
      <c r="AM25" s="9"/>
      <c r="AN25" s="9"/>
      <c r="AO25" s="9"/>
      <c r="AP25" s="9"/>
    </row>
    <row r="26" spans="1:42" ht="15.75" customHeight="1" x14ac:dyDescent="0.25">
      <c r="C26" s="13">
        <v>41081</v>
      </c>
      <c r="D26" s="1">
        <v>1829</v>
      </c>
      <c r="E26" s="1">
        <v>401</v>
      </c>
      <c r="F26" s="1">
        <v>1985</v>
      </c>
      <c r="G26" s="1">
        <v>3741</v>
      </c>
      <c r="H26" s="1">
        <v>59</v>
      </c>
      <c r="I26" s="1">
        <v>738</v>
      </c>
      <c r="J26" s="1">
        <v>1</v>
      </c>
      <c r="K26" s="1">
        <v>525</v>
      </c>
      <c r="L26" s="1">
        <v>174</v>
      </c>
      <c r="M26" s="1"/>
      <c r="N26" s="13">
        <v>41081</v>
      </c>
      <c r="O26" s="1">
        <v>7949</v>
      </c>
      <c r="P26" s="1">
        <v>6317</v>
      </c>
      <c r="Q26" s="1">
        <v>5312</v>
      </c>
      <c r="R26" s="1">
        <v>7509</v>
      </c>
      <c r="S26" s="1">
        <v>689</v>
      </c>
      <c r="T26" s="1">
        <v>6144</v>
      </c>
      <c r="U26" s="1">
        <v>149</v>
      </c>
      <c r="V26" s="1">
        <v>1498</v>
      </c>
      <c r="W26" s="1">
        <v>1183</v>
      </c>
      <c r="X26" s="1"/>
      <c r="Y26" s="13">
        <v>41081</v>
      </c>
      <c r="Z26" s="12">
        <f t="shared" si="1"/>
        <v>9778</v>
      </c>
      <c r="AA26" s="12">
        <f t="shared" si="6"/>
        <v>6718</v>
      </c>
      <c r="AB26" s="12">
        <f t="shared" si="7"/>
        <v>7297</v>
      </c>
      <c r="AC26" s="12">
        <f t="shared" si="8"/>
        <v>11250</v>
      </c>
      <c r="AD26" s="12">
        <f t="shared" si="3"/>
        <v>748</v>
      </c>
      <c r="AE26" s="12">
        <f t="shared" si="4"/>
        <v>6882</v>
      </c>
      <c r="AF26" s="12">
        <f t="shared" si="4"/>
        <v>150</v>
      </c>
      <c r="AG26" s="12">
        <f t="shared" si="4"/>
        <v>2023</v>
      </c>
      <c r="AH26" s="12">
        <f t="shared" si="4"/>
        <v>1357</v>
      </c>
      <c r="AI26" s="33">
        <f t="shared" si="0"/>
        <v>46203</v>
      </c>
      <c r="AJ26" s="6">
        <f t="shared" si="5"/>
        <v>69943</v>
      </c>
      <c r="AK26" s="6"/>
      <c r="AL26" s="9"/>
      <c r="AM26" s="9"/>
      <c r="AN26" s="9"/>
      <c r="AO26" s="9"/>
      <c r="AP26" s="9"/>
    </row>
    <row r="27" spans="1:42" ht="15.75" customHeight="1" x14ac:dyDescent="0.25">
      <c r="C27" s="13">
        <v>41082</v>
      </c>
      <c r="D27" s="1">
        <v>2298</v>
      </c>
      <c r="E27" s="1">
        <v>589</v>
      </c>
      <c r="F27" s="1">
        <v>1375</v>
      </c>
      <c r="G27" s="1">
        <v>2750</v>
      </c>
      <c r="H27" s="1">
        <v>71</v>
      </c>
      <c r="I27" s="1">
        <v>568</v>
      </c>
      <c r="J27" s="1">
        <v>4</v>
      </c>
      <c r="K27" s="1">
        <v>620</v>
      </c>
      <c r="L27" s="1">
        <v>108</v>
      </c>
      <c r="M27" s="1"/>
      <c r="N27" s="13">
        <v>41082</v>
      </c>
      <c r="O27" s="1">
        <v>10000</v>
      </c>
      <c r="P27" s="1">
        <v>6713</v>
      </c>
      <c r="Q27" s="1">
        <v>3649</v>
      </c>
      <c r="R27" s="1">
        <v>6102</v>
      </c>
      <c r="S27" s="1">
        <v>433</v>
      </c>
      <c r="T27" s="1">
        <v>6564</v>
      </c>
      <c r="U27" s="1">
        <v>329</v>
      </c>
      <c r="V27" s="1">
        <v>1742</v>
      </c>
      <c r="W27" s="1">
        <v>1469</v>
      </c>
      <c r="X27" s="1"/>
      <c r="Y27" s="13">
        <v>41082</v>
      </c>
      <c r="Z27" s="12">
        <f t="shared" si="1"/>
        <v>12298</v>
      </c>
      <c r="AA27" s="12">
        <f t="shared" si="6"/>
        <v>7302</v>
      </c>
      <c r="AB27" s="12">
        <f t="shared" si="7"/>
        <v>5024</v>
      </c>
      <c r="AC27" s="12">
        <f t="shared" si="8"/>
        <v>8852</v>
      </c>
      <c r="AD27" s="12">
        <f t="shared" si="3"/>
        <v>504</v>
      </c>
      <c r="AE27" s="12">
        <f t="shared" si="4"/>
        <v>7132</v>
      </c>
      <c r="AF27" s="12">
        <f t="shared" si="4"/>
        <v>333</v>
      </c>
      <c r="AG27" s="12">
        <f t="shared" si="4"/>
        <v>2362</v>
      </c>
      <c r="AH27" s="12">
        <f t="shared" si="4"/>
        <v>1577</v>
      </c>
      <c r="AI27" s="33">
        <f t="shared" si="0"/>
        <v>45384</v>
      </c>
      <c r="AJ27" s="6">
        <f t="shared" si="5"/>
        <v>69848.28571428571</v>
      </c>
      <c r="AK27" s="6"/>
      <c r="AL27" s="9"/>
      <c r="AM27" s="9"/>
      <c r="AN27" s="9"/>
      <c r="AO27" s="9"/>
      <c r="AP27" s="9"/>
    </row>
    <row r="28" spans="1:42" ht="15.75" customHeight="1" x14ac:dyDescent="0.25">
      <c r="C28" s="13">
        <v>41083</v>
      </c>
      <c r="D28" s="1">
        <v>1240</v>
      </c>
      <c r="E28" s="1">
        <v>1335</v>
      </c>
      <c r="F28" s="1">
        <v>843</v>
      </c>
      <c r="G28" s="1">
        <v>893</v>
      </c>
      <c r="H28" s="1">
        <v>91</v>
      </c>
      <c r="I28" s="1">
        <v>437</v>
      </c>
      <c r="J28" s="1">
        <v>30</v>
      </c>
      <c r="K28" s="1">
        <v>36</v>
      </c>
      <c r="L28" s="1">
        <v>51</v>
      </c>
      <c r="M28" s="1"/>
      <c r="N28" s="13">
        <v>41083</v>
      </c>
      <c r="O28" s="1">
        <v>5250</v>
      </c>
      <c r="P28" s="1">
        <v>5459</v>
      </c>
      <c r="Q28" s="1">
        <v>2123</v>
      </c>
      <c r="R28" s="1">
        <v>6296</v>
      </c>
      <c r="S28" s="1">
        <v>2345</v>
      </c>
      <c r="T28" s="1">
        <v>2251</v>
      </c>
      <c r="U28" s="1">
        <v>232</v>
      </c>
      <c r="V28" s="1">
        <v>506</v>
      </c>
      <c r="W28" s="1">
        <v>920</v>
      </c>
      <c r="X28" s="1"/>
      <c r="Y28" s="13">
        <v>41083</v>
      </c>
      <c r="Z28" s="12">
        <f t="shared" si="1"/>
        <v>6490</v>
      </c>
      <c r="AA28" s="12">
        <f t="shared" si="6"/>
        <v>6794</v>
      </c>
      <c r="AB28" s="12">
        <f t="shared" si="7"/>
        <v>2966</v>
      </c>
      <c r="AC28" s="12">
        <f t="shared" si="8"/>
        <v>7189</v>
      </c>
      <c r="AD28" s="12">
        <f t="shared" si="3"/>
        <v>2436</v>
      </c>
      <c r="AE28" s="12">
        <f t="shared" si="4"/>
        <v>2688</v>
      </c>
      <c r="AF28" s="12">
        <f t="shared" si="4"/>
        <v>262</v>
      </c>
      <c r="AG28" s="12">
        <f t="shared" si="4"/>
        <v>542</v>
      </c>
      <c r="AH28" s="12">
        <f t="shared" si="4"/>
        <v>971</v>
      </c>
      <c r="AI28" s="33">
        <f t="shared" si="0"/>
        <v>30338</v>
      </c>
      <c r="AJ28" s="6">
        <f t="shared" si="5"/>
        <v>54479.142857142855</v>
      </c>
      <c r="AK28" s="6"/>
      <c r="AL28" s="9"/>
      <c r="AM28" s="9"/>
      <c r="AN28" s="9"/>
      <c r="AO28" s="9"/>
      <c r="AP28" s="9"/>
    </row>
    <row r="29" spans="1:42" ht="15.75" customHeight="1" x14ac:dyDescent="0.25">
      <c r="C29" s="13">
        <v>41084</v>
      </c>
      <c r="D29" s="1">
        <v>1371</v>
      </c>
      <c r="E29" s="1">
        <v>783</v>
      </c>
      <c r="F29" s="1">
        <v>715</v>
      </c>
      <c r="G29" s="1">
        <v>1097</v>
      </c>
      <c r="H29" s="1">
        <v>68</v>
      </c>
      <c r="I29" s="1">
        <v>423</v>
      </c>
      <c r="J29" s="1">
        <v>7</v>
      </c>
      <c r="K29" s="1">
        <v>57</v>
      </c>
      <c r="L29" s="1">
        <v>51</v>
      </c>
      <c r="M29" s="1"/>
      <c r="N29" s="13">
        <v>41084</v>
      </c>
      <c r="O29" s="1">
        <v>4544</v>
      </c>
      <c r="P29" s="1">
        <v>4134</v>
      </c>
      <c r="Q29" s="1">
        <v>1839</v>
      </c>
      <c r="R29" s="1">
        <v>5945</v>
      </c>
      <c r="S29" s="1">
        <v>3414</v>
      </c>
      <c r="T29" s="1">
        <v>2433</v>
      </c>
      <c r="U29" s="1">
        <v>181</v>
      </c>
      <c r="V29" s="1">
        <v>622</v>
      </c>
      <c r="W29" s="1">
        <v>756</v>
      </c>
      <c r="X29" s="1"/>
      <c r="Y29" s="13">
        <v>41084</v>
      </c>
      <c r="Z29" s="12">
        <f t="shared" si="1"/>
        <v>5915</v>
      </c>
      <c r="AA29" s="12">
        <f t="shared" si="6"/>
        <v>4917</v>
      </c>
      <c r="AB29" s="12">
        <f t="shared" si="7"/>
        <v>2554</v>
      </c>
      <c r="AC29" s="12">
        <f t="shared" si="8"/>
        <v>7042</v>
      </c>
      <c r="AD29" s="12">
        <f t="shared" si="3"/>
        <v>3482</v>
      </c>
      <c r="AE29" s="12">
        <f t="shared" si="4"/>
        <v>2856</v>
      </c>
      <c r="AF29" s="12">
        <f t="shared" si="4"/>
        <v>188</v>
      </c>
      <c r="AG29" s="12">
        <f t="shared" si="4"/>
        <v>679</v>
      </c>
      <c r="AH29" s="12">
        <f t="shared" si="4"/>
        <v>807</v>
      </c>
      <c r="AI29" s="33">
        <f t="shared" si="0"/>
        <v>28440</v>
      </c>
      <c r="AJ29" s="6">
        <f t="shared" si="5"/>
        <v>41620.285714285717</v>
      </c>
      <c r="AK29" s="6"/>
      <c r="AL29" s="9"/>
      <c r="AM29" s="9"/>
      <c r="AN29" s="9"/>
      <c r="AO29" s="9"/>
      <c r="AP29" s="9"/>
    </row>
    <row r="30" spans="1:42" ht="15.75" customHeight="1" x14ac:dyDescent="0.25">
      <c r="A30" s="25"/>
      <c r="B30" s="4"/>
      <c r="C30" s="13">
        <v>41085</v>
      </c>
      <c r="D30" s="1">
        <v>1977</v>
      </c>
      <c r="E30" s="1">
        <v>568</v>
      </c>
      <c r="F30" s="1">
        <v>867</v>
      </c>
      <c r="G30" s="1">
        <v>2348</v>
      </c>
      <c r="H30" s="1">
        <v>275</v>
      </c>
      <c r="I30" s="1">
        <v>583</v>
      </c>
      <c r="J30" s="1">
        <v>0</v>
      </c>
      <c r="K30" s="1">
        <v>662</v>
      </c>
      <c r="L30" s="1">
        <v>136</v>
      </c>
      <c r="M30" s="1"/>
      <c r="N30" s="13">
        <v>41085</v>
      </c>
      <c r="O30" s="1">
        <v>8748</v>
      </c>
      <c r="P30" s="1">
        <v>8248</v>
      </c>
      <c r="Q30" s="1">
        <v>2593</v>
      </c>
      <c r="R30" s="1">
        <v>6592</v>
      </c>
      <c r="S30" s="1">
        <v>4554</v>
      </c>
      <c r="T30" s="1">
        <v>5428</v>
      </c>
      <c r="U30" s="1">
        <v>311</v>
      </c>
      <c r="V30" s="1">
        <v>1173</v>
      </c>
      <c r="W30" s="1">
        <v>900</v>
      </c>
      <c r="X30" s="1"/>
      <c r="Y30" s="13">
        <v>41085</v>
      </c>
      <c r="Z30" s="12">
        <f t="shared" si="1"/>
        <v>10725</v>
      </c>
      <c r="AA30" s="12">
        <f t="shared" si="6"/>
        <v>8816</v>
      </c>
      <c r="AB30" s="12">
        <f t="shared" si="7"/>
        <v>3460</v>
      </c>
      <c r="AC30" s="12">
        <f t="shared" si="8"/>
        <v>8940</v>
      </c>
      <c r="AD30" s="12">
        <f t="shared" si="3"/>
        <v>4829</v>
      </c>
      <c r="AE30" s="12">
        <f t="shared" si="4"/>
        <v>6011</v>
      </c>
      <c r="AF30" s="12">
        <f t="shared" si="4"/>
        <v>311</v>
      </c>
      <c r="AG30" s="12">
        <f t="shared" si="4"/>
        <v>1835</v>
      </c>
      <c r="AH30" s="12">
        <f t="shared" si="4"/>
        <v>1036</v>
      </c>
      <c r="AI30" s="33">
        <f t="shared" si="0"/>
        <v>45963</v>
      </c>
      <c r="AJ30" s="6">
        <f t="shared" si="5"/>
        <v>41602.857142857145</v>
      </c>
      <c r="AK30" s="6"/>
      <c r="AL30" s="9"/>
      <c r="AM30" s="9"/>
      <c r="AN30" s="9"/>
      <c r="AO30" s="9"/>
      <c r="AP30" s="9"/>
    </row>
    <row r="31" spans="1:42" ht="15.75" customHeight="1" x14ac:dyDescent="0.25">
      <c r="C31" s="13">
        <v>41086</v>
      </c>
      <c r="D31" s="1">
        <v>3619</v>
      </c>
      <c r="E31" s="1">
        <v>912</v>
      </c>
      <c r="F31" s="1">
        <v>1073</v>
      </c>
      <c r="G31" s="1">
        <v>2972</v>
      </c>
      <c r="H31" s="1">
        <v>163</v>
      </c>
      <c r="I31" s="1">
        <v>929</v>
      </c>
      <c r="J31" s="1">
        <v>9</v>
      </c>
      <c r="K31" s="1">
        <v>834</v>
      </c>
      <c r="L31" s="1">
        <v>109</v>
      </c>
      <c r="M31" s="1"/>
      <c r="N31" s="13">
        <v>41086</v>
      </c>
      <c r="O31" s="1">
        <v>14000</v>
      </c>
      <c r="P31" s="1">
        <v>6328</v>
      </c>
      <c r="Q31" s="1">
        <v>2977</v>
      </c>
      <c r="R31" s="1">
        <v>6126</v>
      </c>
      <c r="S31" s="1">
        <v>3596</v>
      </c>
      <c r="T31" s="1">
        <v>9240</v>
      </c>
      <c r="U31" s="1">
        <v>318</v>
      </c>
      <c r="V31" s="1">
        <v>2265</v>
      </c>
      <c r="W31" s="1">
        <v>908</v>
      </c>
      <c r="X31" s="1"/>
      <c r="Y31" s="13">
        <v>41086</v>
      </c>
      <c r="Z31" s="12">
        <f t="shared" si="1"/>
        <v>17619</v>
      </c>
      <c r="AA31" s="12">
        <f t="shared" si="6"/>
        <v>7240</v>
      </c>
      <c r="AB31" s="12">
        <f t="shared" si="7"/>
        <v>4050</v>
      </c>
      <c r="AC31" s="12">
        <f t="shared" si="8"/>
        <v>9098</v>
      </c>
      <c r="AD31" s="12">
        <f t="shared" si="3"/>
        <v>3759</v>
      </c>
      <c r="AE31" s="12">
        <f t="shared" si="4"/>
        <v>10169</v>
      </c>
      <c r="AF31" s="12">
        <f t="shared" si="4"/>
        <v>327</v>
      </c>
      <c r="AG31" s="12">
        <f t="shared" si="4"/>
        <v>3099</v>
      </c>
      <c r="AH31" s="12">
        <f t="shared" si="4"/>
        <v>1017</v>
      </c>
      <c r="AI31" s="33">
        <f t="shared" si="0"/>
        <v>56378</v>
      </c>
      <c r="AJ31" s="6">
        <f t="shared" si="5"/>
        <v>42592.428571428572</v>
      </c>
      <c r="AK31" s="6"/>
      <c r="AL31" s="9"/>
      <c r="AM31" s="9"/>
      <c r="AN31" s="9"/>
      <c r="AO31" s="9"/>
      <c r="AP31" s="9"/>
    </row>
    <row r="32" spans="1:42" ht="15.75" customHeight="1" x14ac:dyDescent="0.25">
      <c r="C32" s="13">
        <v>41087</v>
      </c>
      <c r="D32" s="1">
        <v>3618</v>
      </c>
      <c r="E32" s="1">
        <v>883</v>
      </c>
      <c r="F32" s="1">
        <v>1116</v>
      </c>
      <c r="G32" s="1">
        <v>2156</v>
      </c>
      <c r="H32" s="1">
        <v>101</v>
      </c>
      <c r="I32" s="1">
        <v>522</v>
      </c>
      <c r="J32" s="1">
        <v>12</v>
      </c>
      <c r="K32" s="1">
        <v>1354</v>
      </c>
      <c r="L32" s="1">
        <v>81</v>
      </c>
      <c r="M32" s="1"/>
      <c r="N32" s="13">
        <v>41087</v>
      </c>
      <c r="O32" s="1">
        <v>12000</v>
      </c>
      <c r="P32" s="1">
        <v>6118</v>
      </c>
      <c r="Q32" s="1">
        <v>2351</v>
      </c>
      <c r="R32" s="1">
        <v>6080</v>
      </c>
      <c r="S32" s="1">
        <v>3346</v>
      </c>
      <c r="T32" s="1">
        <v>6579</v>
      </c>
      <c r="U32" s="1">
        <v>270</v>
      </c>
      <c r="V32" s="1">
        <v>2944</v>
      </c>
      <c r="W32" s="1">
        <v>1481</v>
      </c>
      <c r="X32" s="1"/>
      <c r="Y32" s="13">
        <v>41087</v>
      </c>
      <c r="Z32" s="12">
        <f t="shared" si="1"/>
        <v>15618</v>
      </c>
      <c r="AA32" s="12">
        <f t="shared" si="6"/>
        <v>7001</v>
      </c>
      <c r="AB32" s="12">
        <f t="shared" si="7"/>
        <v>3467</v>
      </c>
      <c r="AC32" s="12">
        <f t="shared" si="8"/>
        <v>8236</v>
      </c>
      <c r="AD32" s="12">
        <f t="shared" si="3"/>
        <v>3447</v>
      </c>
      <c r="AE32" s="12">
        <f t="shared" si="4"/>
        <v>7101</v>
      </c>
      <c r="AF32" s="12">
        <f t="shared" si="4"/>
        <v>282</v>
      </c>
      <c r="AG32" s="12">
        <f t="shared" si="4"/>
        <v>4298</v>
      </c>
      <c r="AH32" s="12">
        <f t="shared" si="4"/>
        <v>1562</v>
      </c>
      <c r="AI32" s="33">
        <f t="shared" si="0"/>
        <v>51012</v>
      </c>
      <c r="AJ32" s="6">
        <f t="shared" si="5"/>
        <v>43388.285714285717</v>
      </c>
      <c r="AK32" s="6"/>
      <c r="AL32" s="9"/>
      <c r="AM32" s="9"/>
      <c r="AN32" s="9"/>
      <c r="AO32" s="9"/>
      <c r="AP32" s="9"/>
    </row>
    <row r="33" spans="3:42" ht="15.75" customHeight="1" x14ac:dyDescent="0.25">
      <c r="C33" s="13">
        <v>41088</v>
      </c>
      <c r="D33" s="1">
        <v>4592</v>
      </c>
      <c r="E33" s="1">
        <v>544</v>
      </c>
      <c r="F33" s="1">
        <v>1393</v>
      </c>
      <c r="G33" s="1">
        <v>1927</v>
      </c>
      <c r="H33" s="1">
        <v>161</v>
      </c>
      <c r="I33" s="1">
        <v>462</v>
      </c>
      <c r="J33" s="1">
        <v>0</v>
      </c>
      <c r="K33" s="1">
        <v>692</v>
      </c>
      <c r="L33" s="1">
        <v>100</v>
      </c>
      <c r="M33" s="1"/>
      <c r="N33" s="13">
        <v>41088</v>
      </c>
      <c r="O33" s="1">
        <v>12000</v>
      </c>
      <c r="P33" s="1">
        <v>4843</v>
      </c>
      <c r="Q33" s="1">
        <v>2277</v>
      </c>
      <c r="R33" s="1">
        <v>4902</v>
      </c>
      <c r="S33" s="1">
        <v>2337</v>
      </c>
      <c r="T33" s="1">
        <v>5217</v>
      </c>
      <c r="U33" s="1">
        <v>130</v>
      </c>
      <c r="V33" s="1">
        <v>1794</v>
      </c>
      <c r="W33" s="1">
        <v>676</v>
      </c>
      <c r="X33" s="1"/>
      <c r="Y33" s="13">
        <v>41088</v>
      </c>
      <c r="Z33" s="12">
        <f t="shared" si="1"/>
        <v>16592</v>
      </c>
      <c r="AA33" s="12">
        <f t="shared" si="6"/>
        <v>5387</v>
      </c>
      <c r="AB33" s="12">
        <f t="shared" si="7"/>
        <v>3670</v>
      </c>
      <c r="AC33" s="12">
        <f t="shared" si="8"/>
        <v>6829</v>
      </c>
      <c r="AD33" s="12">
        <f t="shared" si="3"/>
        <v>2498</v>
      </c>
      <c r="AE33" s="12">
        <f t="shared" si="4"/>
        <v>5679</v>
      </c>
      <c r="AF33" s="12">
        <f t="shared" si="4"/>
        <v>130</v>
      </c>
      <c r="AG33" s="12">
        <f t="shared" si="4"/>
        <v>2486</v>
      </c>
      <c r="AH33" s="12">
        <f t="shared" si="4"/>
        <v>776</v>
      </c>
      <c r="AI33" s="33">
        <f t="shared" si="0"/>
        <v>44047</v>
      </c>
      <c r="AJ33" s="6">
        <f t="shared" si="5"/>
        <v>43080.285714285717</v>
      </c>
      <c r="AK33" s="6"/>
      <c r="AL33" s="9"/>
      <c r="AM33" s="9"/>
      <c r="AN33" s="9"/>
      <c r="AO33" s="9"/>
      <c r="AP33" s="9"/>
    </row>
    <row r="34" spans="3:42" ht="15.75" customHeight="1" x14ac:dyDescent="0.25">
      <c r="C34" s="13">
        <v>41089</v>
      </c>
      <c r="D34" s="1">
        <v>5576</v>
      </c>
      <c r="E34" s="1">
        <v>551</v>
      </c>
      <c r="F34" s="1">
        <v>1342</v>
      </c>
      <c r="G34" s="1">
        <v>2532</v>
      </c>
      <c r="H34" s="1">
        <v>156</v>
      </c>
      <c r="I34" s="1">
        <v>532</v>
      </c>
      <c r="J34" s="1">
        <v>12</v>
      </c>
      <c r="K34" s="1">
        <v>1020</v>
      </c>
      <c r="L34" s="1">
        <v>128</v>
      </c>
      <c r="M34" s="1"/>
      <c r="N34" s="13">
        <v>41089</v>
      </c>
      <c r="O34" s="1">
        <v>14000</v>
      </c>
      <c r="P34" s="1">
        <v>5589</v>
      </c>
      <c r="Q34" s="1">
        <v>3263</v>
      </c>
      <c r="R34" s="1">
        <v>6310</v>
      </c>
      <c r="S34" s="1">
        <v>2872</v>
      </c>
      <c r="T34" s="1">
        <v>7373</v>
      </c>
      <c r="U34" s="1">
        <v>269</v>
      </c>
      <c r="V34" s="1">
        <v>2064</v>
      </c>
      <c r="W34" s="1">
        <v>1045</v>
      </c>
      <c r="X34" s="1"/>
      <c r="Y34" s="13">
        <v>41089</v>
      </c>
      <c r="Z34" s="12">
        <f t="shared" si="1"/>
        <v>19576</v>
      </c>
      <c r="AA34" s="12">
        <f t="shared" si="6"/>
        <v>6140</v>
      </c>
      <c r="AB34" s="12">
        <f t="shared" si="7"/>
        <v>4605</v>
      </c>
      <c r="AC34" s="12">
        <f t="shared" si="8"/>
        <v>8842</v>
      </c>
      <c r="AD34" s="12">
        <f t="shared" si="3"/>
        <v>3028</v>
      </c>
      <c r="AE34" s="12">
        <f t="shared" si="4"/>
        <v>7905</v>
      </c>
      <c r="AF34" s="12">
        <f t="shared" si="4"/>
        <v>281</v>
      </c>
      <c r="AG34" s="12">
        <f t="shared" si="4"/>
        <v>3084</v>
      </c>
      <c r="AH34" s="12">
        <f t="shared" si="4"/>
        <v>1173</v>
      </c>
      <c r="AI34" s="33">
        <f t="shared" si="0"/>
        <v>54634</v>
      </c>
      <c r="AJ34" s="6">
        <f t="shared" si="5"/>
        <v>44401.714285714283</v>
      </c>
      <c r="AK34" s="6"/>
      <c r="AL34" s="9"/>
      <c r="AM34" s="9"/>
      <c r="AN34" s="9"/>
      <c r="AO34" s="9"/>
      <c r="AP34" s="9"/>
    </row>
    <row r="35" spans="3:42" ht="15.75" customHeight="1" x14ac:dyDescent="0.25">
      <c r="C35" s="13">
        <v>41090</v>
      </c>
      <c r="D35" s="1">
        <v>5415</v>
      </c>
      <c r="E35" s="1">
        <v>859</v>
      </c>
      <c r="F35" s="1">
        <v>1736</v>
      </c>
      <c r="G35" s="1">
        <v>3925</v>
      </c>
      <c r="H35" s="1">
        <v>262</v>
      </c>
      <c r="I35" s="1">
        <v>1127</v>
      </c>
      <c r="J35" s="1">
        <v>12</v>
      </c>
      <c r="K35" s="1">
        <v>1063</v>
      </c>
      <c r="L35" s="1">
        <v>213</v>
      </c>
      <c r="M35" s="1"/>
      <c r="N35" s="13">
        <v>41090</v>
      </c>
      <c r="O35" s="1">
        <v>28779</v>
      </c>
      <c r="P35" s="1">
        <v>6909</v>
      </c>
      <c r="Q35" s="1">
        <v>3341</v>
      </c>
      <c r="R35" s="1">
        <v>17052</v>
      </c>
      <c r="S35" s="1">
        <v>1196</v>
      </c>
      <c r="T35" s="1">
        <v>8828</v>
      </c>
      <c r="U35" s="1">
        <v>648</v>
      </c>
      <c r="V35" s="1">
        <v>1271</v>
      </c>
      <c r="W35" s="1">
        <v>1239</v>
      </c>
      <c r="X35" s="1"/>
      <c r="Y35" s="13">
        <v>41090</v>
      </c>
      <c r="Z35" s="12">
        <f t="shared" si="1"/>
        <v>34194</v>
      </c>
      <c r="AA35" s="12">
        <f t="shared" si="6"/>
        <v>7768</v>
      </c>
      <c r="AB35" s="12">
        <f t="shared" si="7"/>
        <v>5077</v>
      </c>
      <c r="AC35" s="12">
        <f t="shared" si="8"/>
        <v>20977</v>
      </c>
      <c r="AD35" s="12">
        <f t="shared" si="3"/>
        <v>1458</v>
      </c>
      <c r="AE35" s="12">
        <f t="shared" si="4"/>
        <v>9955</v>
      </c>
      <c r="AF35" s="12">
        <f t="shared" si="4"/>
        <v>660</v>
      </c>
      <c r="AG35" s="12">
        <f t="shared" si="4"/>
        <v>2334</v>
      </c>
      <c r="AH35" s="12">
        <f t="shared" si="4"/>
        <v>1452</v>
      </c>
      <c r="AI35" s="33">
        <f t="shared" si="0"/>
        <v>83875</v>
      </c>
      <c r="AJ35" s="6">
        <f t="shared" si="5"/>
        <v>52049.857142857145</v>
      </c>
      <c r="AK35" s="6"/>
      <c r="AL35" s="9"/>
      <c r="AM35" s="9"/>
      <c r="AN35" s="9"/>
      <c r="AO35" s="9"/>
      <c r="AP35" s="9"/>
    </row>
    <row r="36" spans="3:42" ht="15.75" customHeight="1" x14ac:dyDescent="0.25">
      <c r="C36" s="13">
        <v>41091</v>
      </c>
      <c r="D36" s="1">
        <v>3789</v>
      </c>
      <c r="E36" s="1">
        <v>1410</v>
      </c>
      <c r="F36" s="1">
        <v>1628</v>
      </c>
      <c r="G36" s="1">
        <v>5038</v>
      </c>
      <c r="H36" s="1">
        <v>140</v>
      </c>
      <c r="I36" s="1">
        <v>674</v>
      </c>
      <c r="J36" s="1">
        <v>7</v>
      </c>
      <c r="K36" s="1">
        <v>581</v>
      </c>
      <c r="L36" s="1">
        <v>113</v>
      </c>
      <c r="M36" s="1"/>
      <c r="N36" s="13">
        <v>41091</v>
      </c>
      <c r="O36" s="1">
        <v>19401</v>
      </c>
      <c r="P36" s="1">
        <v>11558</v>
      </c>
      <c r="Q36" s="1">
        <v>3672</v>
      </c>
      <c r="R36" s="1">
        <v>21802</v>
      </c>
      <c r="S36" s="1">
        <v>896</v>
      </c>
      <c r="T36" s="1">
        <v>6219</v>
      </c>
      <c r="U36" s="1">
        <v>460</v>
      </c>
      <c r="V36" s="1">
        <v>1422</v>
      </c>
      <c r="W36" s="1">
        <v>1439</v>
      </c>
      <c r="X36" s="1"/>
      <c r="Y36" s="13">
        <v>41091</v>
      </c>
      <c r="Z36" s="12">
        <f t="shared" si="1"/>
        <v>23190</v>
      </c>
      <c r="AA36" s="12">
        <f t="shared" si="6"/>
        <v>12968</v>
      </c>
      <c r="AB36" s="12">
        <f t="shared" si="7"/>
        <v>5300</v>
      </c>
      <c r="AC36" s="12">
        <f t="shared" si="8"/>
        <v>26840</v>
      </c>
      <c r="AD36" s="12">
        <f t="shared" si="3"/>
        <v>1036</v>
      </c>
      <c r="AE36" s="12">
        <f t="shared" si="4"/>
        <v>6893</v>
      </c>
      <c r="AF36" s="12">
        <f t="shared" si="4"/>
        <v>467</v>
      </c>
      <c r="AG36" s="12">
        <f t="shared" si="4"/>
        <v>2003</v>
      </c>
      <c r="AH36" s="12">
        <f t="shared" si="4"/>
        <v>1552</v>
      </c>
      <c r="AI36" s="33">
        <f t="shared" si="0"/>
        <v>80249</v>
      </c>
      <c r="AJ36" s="6">
        <f t="shared" si="5"/>
        <v>59451.142857142855</v>
      </c>
      <c r="AK36" s="6"/>
      <c r="AL36" s="9"/>
      <c r="AM36" s="9"/>
      <c r="AN36" s="9"/>
      <c r="AO36" s="9"/>
      <c r="AP36" s="9"/>
    </row>
    <row r="37" spans="3:42" ht="15.75" customHeight="1" x14ac:dyDescent="0.25">
      <c r="C37" s="13">
        <v>41092</v>
      </c>
      <c r="D37" s="1">
        <v>2645</v>
      </c>
      <c r="E37" s="1">
        <v>572</v>
      </c>
      <c r="F37" s="1">
        <v>1089</v>
      </c>
      <c r="G37" s="1">
        <v>2230</v>
      </c>
      <c r="H37" s="1">
        <v>94</v>
      </c>
      <c r="I37" s="1">
        <v>452</v>
      </c>
      <c r="J37" s="1">
        <v>5</v>
      </c>
      <c r="K37" s="1">
        <v>414</v>
      </c>
      <c r="L37" s="1">
        <v>106</v>
      </c>
      <c r="M37" s="1"/>
      <c r="N37" s="13">
        <v>41092</v>
      </c>
      <c r="O37" s="1">
        <v>14000</v>
      </c>
      <c r="P37" s="1">
        <v>7434</v>
      </c>
      <c r="Q37" s="1">
        <v>2751</v>
      </c>
      <c r="R37" s="1">
        <v>6663</v>
      </c>
      <c r="S37" s="1">
        <v>601</v>
      </c>
      <c r="T37" s="1">
        <v>4809</v>
      </c>
      <c r="U37" s="1">
        <v>276</v>
      </c>
      <c r="V37" s="1">
        <v>879</v>
      </c>
      <c r="W37" s="1">
        <v>976</v>
      </c>
      <c r="X37" s="1"/>
      <c r="Y37" s="13">
        <v>41092</v>
      </c>
      <c r="Z37" s="12">
        <f t="shared" si="1"/>
        <v>16645</v>
      </c>
      <c r="AA37" s="12">
        <f t="shared" si="6"/>
        <v>8006</v>
      </c>
      <c r="AB37" s="12">
        <f t="shared" si="7"/>
        <v>3840</v>
      </c>
      <c r="AC37" s="12">
        <f t="shared" si="8"/>
        <v>8893</v>
      </c>
      <c r="AD37" s="12">
        <f t="shared" si="3"/>
        <v>695</v>
      </c>
      <c r="AE37" s="12">
        <f t="shared" si="4"/>
        <v>5261</v>
      </c>
      <c r="AF37" s="12">
        <f t="shared" si="4"/>
        <v>281</v>
      </c>
      <c r="AG37" s="12">
        <f t="shared" si="4"/>
        <v>1293</v>
      </c>
      <c r="AH37" s="12">
        <f t="shared" si="4"/>
        <v>1082</v>
      </c>
      <c r="AI37" s="33">
        <f t="shared" si="0"/>
        <v>45996</v>
      </c>
      <c r="AJ37" s="6">
        <f t="shared" si="5"/>
        <v>59455.857142857145</v>
      </c>
      <c r="AK37" s="6"/>
      <c r="AL37" s="9"/>
      <c r="AM37" s="9"/>
      <c r="AN37" s="9"/>
      <c r="AO37" s="9"/>
      <c r="AP37" s="9"/>
    </row>
    <row r="38" spans="3:42" ht="15.75" customHeight="1" x14ac:dyDescent="0.25">
      <c r="C38" s="13">
        <v>41093</v>
      </c>
      <c r="D38" s="1">
        <v>4097</v>
      </c>
      <c r="E38" s="1">
        <v>796</v>
      </c>
      <c r="F38" s="1">
        <v>1247</v>
      </c>
      <c r="G38" s="1">
        <v>3131</v>
      </c>
      <c r="H38" s="1">
        <v>179</v>
      </c>
      <c r="I38" s="1">
        <v>420</v>
      </c>
      <c r="J38" s="1">
        <v>1</v>
      </c>
      <c r="K38" s="1">
        <v>506</v>
      </c>
      <c r="L38" s="1">
        <v>182</v>
      </c>
      <c r="M38" s="1"/>
      <c r="N38" s="13">
        <v>41093</v>
      </c>
      <c r="O38" s="1">
        <v>11000</v>
      </c>
      <c r="P38" s="1">
        <v>6939</v>
      </c>
      <c r="Q38" s="1">
        <v>3151</v>
      </c>
      <c r="R38" s="1">
        <v>5662</v>
      </c>
      <c r="S38" s="1">
        <v>356</v>
      </c>
      <c r="T38" s="1">
        <v>4430</v>
      </c>
      <c r="U38" s="1">
        <v>525</v>
      </c>
      <c r="V38" s="1">
        <v>1451</v>
      </c>
      <c r="W38" s="1">
        <v>1035</v>
      </c>
      <c r="X38" s="1"/>
      <c r="Y38" s="13">
        <v>41093</v>
      </c>
      <c r="Z38" s="12">
        <f t="shared" si="1"/>
        <v>15097</v>
      </c>
      <c r="AA38" s="12">
        <f t="shared" si="6"/>
        <v>7735</v>
      </c>
      <c r="AB38" s="12">
        <f t="shared" si="7"/>
        <v>4398</v>
      </c>
      <c r="AC38" s="12">
        <f t="shared" si="8"/>
        <v>8793</v>
      </c>
      <c r="AD38" s="12">
        <f t="shared" si="3"/>
        <v>535</v>
      </c>
      <c r="AE38" s="12">
        <f t="shared" si="4"/>
        <v>4850</v>
      </c>
      <c r="AF38" s="12">
        <f t="shared" si="4"/>
        <v>526</v>
      </c>
      <c r="AG38" s="12">
        <f t="shared" si="4"/>
        <v>1957</v>
      </c>
      <c r="AH38" s="12">
        <f t="shared" si="4"/>
        <v>1217</v>
      </c>
      <c r="AI38" s="33">
        <f t="shared" si="0"/>
        <v>45108</v>
      </c>
      <c r="AJ38" s="6">
        <f t="shared" si="5"/>
        <v>57845.857142857145</v>
      </c>
      <c r="AK38" s="6"/>
      <c r="AL38" s="9"/>
      <c r="AM38" s="9"/>
      <c r="AN38" s="9"/>
      <c r="AO38" s="9"/>
      <c r="AP38" s="9"/>
    </row>
    <row r="39" spans="3:42" ht="15.75" customHeight="1" x14ac:dyDescent="0.25">
      <c r="C39" s="13">
        <v>41094</v>
      </c>
      <c r="D39" s="1">
        <v>2279</v>
      </c>
      <c r="E39" s="1">
        <v>346</v>
      </c>
      <c r="F39" s="1">
        <v>1149</v>
      </c>
      <c r="G39" s="1">
        <v>2052</v>
      </c>
      <c r="H39" s="1">
        <v>121</v>
      </c>
      <c r="I39" s="1">
        <v>417</v>
      </c>
      <c r="J39" s="1">
        <v>1</v>
      </c>
      <c r="K39" s="1">
        <v>677</v>
      </c>
      <c r="L39" s="1">
        <v>130</v>
      </c>
      <c r="M39" s="1"/>
      <c r="N39" s="13">
        <v>41094</v>
      </c>
      <c r="O39" s="1">
        <v>10000</v>
      </c>
      <c r="P39" s="1">
        <v>4577</v>
      </c>
      <c r="Q39" s="1">
        <v>2375</v>
      </c>
      <c r="R39" s="1">
        <v>5619</v>
      </c>
      <c r="S39" s="1">
        <v>613</v>
      </c>
      <c r="T39" s="1">
        <v>5208</v>
      </c>
      <c r="U39" s="1">
        <v>281</v>
      </c>
      <c r="V39" s="1">
        <v>2889</v>
      </c>
      <c r="W39" s="1">
        <v>852</v>
      </c>
      <c r="X39" s="1"/>
      <c r="Y39" s="13">
        <v>41094</v>
      </c>
      <c r="Z39" s="12">
        <f t="shared" si="1"/>
        <v>12279</v>
      </c>
      <c r="AA39" s="12">
        <f t="shared" si="6"/>
        <v>4923</v>
      </c>
      <c r="AB39" s="12">
        <f t="shared" si="7"/>
        <v>3524</v>
      </c>
      <c r="AC39" s="12">
        <f t="shared" si="8"/>
        <v>7671</v>
      </c>
      <c r="AD39" s="12">
        <f t="shared" si="3"/>
        <v>734</v>
      </c>
      <c r="AE39" s="12">
        <f t="shared" si="4"/>
        <v>5625</v>
      </c>
      <c r="AF39" s="12">
        <f t="shared" si="4"/>
        <v>282</v>
      </c>
      <c r="AG39" s="12">
        <f t="shared" si="4"/>
        <v>3566</v>
      </c>
      <c r="AH39" s="12">
        <f t="shared" si="4"/>
        <v>982</v>
      </c>
      <c r="AI39" s="33">
        <f t="shared" si="0"/>
        <v>39586</v>
      </c>
      <c r="AJ39" s="6">
        <f t="shared" si="5"/>
        <v>56213.571428571428</v>
      </c>
      <c r="AK39" s="6"/>
      <c r="AL39" s="9"/>
      <c r="AM39" s="9"/>
      <c r="AN39" s="9"/>
      <c r="AO39" s="9"/>
      <c r="AP39" s="9"/>
    </row>
    <row r="40" spans="3:42" ht="15.75" customHeight="1" x14ac:dyDescent="0.25">
      <c r="C40" s="13">
        <v>41095</v>
      </c>
      <c r="D40" s="1">
        <v>2157</v>
      </c>
      <c r="E40" s="1">
        <v>671</v>
      </c>
      <c r="F40" s="1">
        <v>1220</v>
      </c>
      <c r="G40" s="1">
        <v>2339</v>
      </c>
      <c r="H40" s="1">
        <v>82</v>
      </c>
      <c r="I40" s="1">
        <v>546</v>
      </c>
      <c r="J40" s="1">
        <v>0</v>
      </c>
      <c r="K40" s="1">
        <v>766</v>
      </c>
      <c r="L40" s="1">
        <v>185</v>
      </c>
      <c r="M40" s="1"/>
      <c r="N40" s="13">
        <v>41095</v>
      </c>
      <c r="O40" s="1">
        <v>10000</v>
      </c>
      <c r="P40" s="1">
        <v>6003</v>
      </c>
      <c r="Q40" s="1">
        <v>2039</v>
      </c>
      <c r="R40" s="1">
        <v>5347</v>
      </c>
      <c r="S40" s="1">
        <v>561</v>
      </c>
      <c r="T40" s="1">
        <v>4863</v>
      </c>
      <c r="U40" s="1">
        <v>230</v>
      </c>
      <c r="V40" s="1">
        <v>2433</v>
      </c>
      <c r="W40" s="1">
        <v>1273</v>
      </c>
      <c r="X40" s="1"/>
      <c r="Y40" s="13">
        <v>41095</v>
      </c>
      <c r="Z40" s="12">
        <f t="shared" si="1"/>
        <v>12157</v>
      </c>
      <c r="AA40" s="12">
        <f t="shared" si="6"/>
        <v>6674</v>
      </c>
      <c r="AB40" s="12">
        <f t="shared" si="7"/>
        <v>3259</v>
      </c>
      <c r="AC40" s="12">
        <f t="shared" si="8"/>
        <v>7686</v>
      </c>
      <c r="AD40" s="12">
        <f t="shared" si="3"/>
        <v>643</v>
      </c>
      <c r="AE40" s="12">
        <f t="shared" si="4"/>
        <v>5409</v>
      </c>
      <c r="AF40" s="12">
        <f t="shared" si="4"/>
        <v>230</v>
      </c>
      <c r="AG40" s="12">
        <f t="shared" si="4"/>
        <v>3199</v>
      </c>
      <c r="AH40" s="12">
        <f t="shared" si="4"/>
        <v>1458</v>
      </c>
      <c r="AI40" s="33">
        <f t="shared" si="0"/>
        <v>40715</v>
      </c>
      <c r="AJ40" s="6">
        <f t="shared" si="5"/>
        <v>55737.571428571428</v>
      </c>
      <c r="AK40" s="6"/>
      <c r="AL40" s="9"/>
      <c r="AM40" s="9"/>
      <c r="AN40" s="9"/>
      <c r="AO40" s="9"/>
      <c r="AP40" s="9"/>
    </row>
    <row r="41" spans="3:42" ht="15.75" customHeight="1" x14ac:dyDescent="0.25">
      <c r="C41" s="13">
        <v>41096</v>
      </c>
      <c r="D41" s="1">
        <v>1913</v>
      </c>
      <c r="E41" s="1">
        <v>488</v>
      </c>
      <c r="F41" s="1">
        <v>1000</v>
      </c>
      <c r="G41" s="1">
        <v>2367</v>
      </c>
      <c r="H41" s="1">
        <v>105</v>
      </c>
      <c r="I41" s="1">
        <v>499</v>
      </c>
      <c r="J41" s="1">
        <v>1</v>
      </c>
      <c r="K41" s="1">
        <v>701</v>
      </c>
      <c r="L41" s="1">
        <v>113</v>
      </c>
      <c r="M41" s="1"/>
      <c r="N41" s="13">
        <v>41096</v>
      </c>
      <c r="O41" s="1">
        <v>13000</v>
      </c>
      <c r="P41" s="1">
        <v>6808</v>
      </c>
      <c r="Q41" s="1">
        <v>3074</v>
      </c>
      <c r="R41" s="1">
        <v>6351</v>
      </c>
      <c r="S41" s="1">
        <v>581</v>
      </c>
      <c r="T41" s="1">
        <v>5224</v>
      </c>
      <c r="U41" s="1">
        <v>253</v>
      </c>
      <c r="V41" s="1">
        <v>1585</v>
      </c>
      <c r="W41" s="1">
        <v>1362</v>
      </c>
      <c r="X41" s="1"/>
      <c r="Y41" s="13">
        <v>41096</v>
      </c>
      <c r="Z41" s="12">
        <f t="shared" si="1"/>
        <v>14913</v>
      </c>
      <c r="AA41" s="12">
        <f t="shared" si="6"/>
        <v>7296</v>
      </c>
      <c r="AB41" s="12">
        <f t="shared" si="7"/>
        <v>4074</v>
      </c>
      <c r="AC41" s="12">
        <f t="shared" si="8"/>
        <v>8718</v>
      </c>
      <c r="AD41" s="12">
        <f t="shared" si="3"/>
        <v>686</v>
      </c>
      <c r="AE41" s="12">
        <f t="shared" si="4"/>
        <v>5723</v>
      </c>
      <c r="AF41" s="12">
        <f t="shared" si="4"/>
        <v>254</v>
      </c>
      <c r="AG41" s="12">
        <f t="shared" si="4"/>
        <v>2286</v>
      </c>
      <c r="AH41" s="12">
        <f t="shared" si="4"/>
        <v>1475</v>
      </c>
      <c r="AI41" s="33">
        <f t="shared" si="0"/>
        <v>45425</v>
      </c>
      <c r="AJ41" s="6">
        <f t="shared" si="5"/>
        <v>54422</v>
      </c>
      <c r="AK41" s="6"/>
      <c r="AL41" s="9"/>
      <c r="AM41" s="9"/>
      <c r="AN41" s="9"/>
      <c r="AO41" s="9"/>
      <c r="AP41" s="9"/>
    </row>
    <row r="42" spans="3:42" ht="15.75" customHeight="1" x14ac:dyDescent="0.25">
      <c r="C42" s="13">
        <v>41097</v>
      </c>
      <c r="D42" s="1">
        <v>2342</v>
      </c>
      <c r="E42" s="1">
        <v>1437</v>
      </c>
      <c r="F42" s="1">
        <v>1370</v>
      </c>
      <c r="G42" s="1">
        <v>2941</v>
      </c>
      <c r="H42" s="1">
        <v>201</v>
      </c>
      <c r="I42" s="1">
        <v>543</v>
      </c>
      <c r="J42" s="1">
        <v>1</v>
      </c>
      <c r="K42" s="1">
        <v>785</v>
      </c>
      <c r="L42" s="1">
        <v>135</v>
      </c>
      <c r="M42" s="1"/>
      <c r="N42" s="13">
        <v>41097</v>
      </c>
      <c r="O42" s="1">
        <v>15104</v>
      </c>
      <c r="P42" s="1">
        <v>9736</v>
      </c>
      <c r="Q42" s="1">
        <v>2784</v>
      </c>
      <c r="R42" s="1">
        <v>14887</v>
      </c>
      <c r="S42" s="1">
        <v>992</v>
      </c>
      <c r="T42" s="1">
        <v>7705</v>
      </c>
      <c r="U42" s="1">
        <v>405</v>
      </c>
      <c r="V42" s="1">
        <v>2004</v>
      </c>
      <c r="W42" s="1">
        <v>1033</v>
      </c>
      <c r="X42" s="1"/>
      <c r="Y42" s="13">
        <v>41097</v>
      </c>
      <c r="Z42" s="12">
        <f t="shared" si="1"/>
        <v>17446</v>
      </c>
      <c r="AA42" s="12">
        <f t="shared" si="6"/>
        <v>11173</v>
      </c>
      <c r="AB42" s="12">
        <f t="shared" si="7"/>
        <v>4154</v>
      </c>
      <c r="AC42" s="12">
        <f t="shared" si="8"/>
        <v>17828</v>
      </c>
      <c r="AD42" s="12">
        <f t="shared" si="3"/>
        <v>1193</v>
      </c>
      <c r="AE42" s="12">
        <f t="shared" si="4"/>
        <v>8248</v>
      </c>
      <c r="AF42" s="12">
        <f t="shared" si="4"/>
        <v>406</v>
      </c>
      <c r="AG42" s="12">
        <f t="shared" si="4"/>
        <v>2789</v>
      </c>
      <c r="AH42" s="12">
        <f t="shared" si="4"/>
        <v>1168</v>
      </c>
      <c r="AI42" s="33">
        <f t="shared" si="0"/>
        <v>64405</v>
      </c>
      <c r="AJ42" s="6">
        <f t="shared" si="5"/>
        <v>51640.571428571428</v>
      </c>
      <c r="AK42" s="6"/>
      <c r="AL42" s="9"/>
      <c r="AM42" s="9"/>
      <c r="AN42" s="9"/>
      <c r="AO42" s="9"/>
      <c r="AP42" s="9"/>
    </row>
    <row r="43" spans="3:42" ht="15.75" customHeight="1" x14ac:dyDescent="0.25">
      <c r="C43" s="13">
        <v>41098</v>
      </c>
      <c r="D43" s="1">
        <v>5836</v>
      </c>
      <c r="E43" s="1">
        <v>972</v>
      </c>
      <c r="F43" s="1">
        <v>1599</v>
      </c>
      <c r="G43" s="1">
        <v>5170</v>
      </c>
      <c r="H43" s="1">
        <v>184</v>
      </c>
      <c r="I43" s="1">
        <v>1273</v>
      </c>
      <c r="J43" s="1">
        <v>1</v>
      </c>
      <c r="K43" s="1">
        <v>817</v>
      </c>
      <c r="L43" s="1">
        <v>92</v>
      </c>
      <c r="M43" s="1"/>
      <c r="N43" s="13">
        <v>41098</v>
      </c>
      <c r="O43" s="1">
        <v>18417</v>
      </c>
      <c r="P43" s="1">
        <v>6270</v>
      </c>
      <c r="Q43" s="1">
        <v>3927</v>
      </c>
      <c r="R43" s="1">
        <v>18646</v>
      </c>
      <c r="S43" s="1">
        <v>1268</v>
      </c>
      <c r="T43" s="1">
        <v>7840</v>
      </c>
      <c r="U43" s="1">
        <v>248</v>
      </c>
      <c r="V43" s="1">
        <v>2055</v>
      </c>
      <c r="W43" s="1">
        <v>1711</v>
      </c>
      <c r="X43" s="1"/>
      <c r="Y43" s="13">
        <v>41098</v>
      </c>
      <c r="Z43" s="12">
        <f t="shared" si="1"/>
        <v>24253</v>
      </c>
      <c r="AA43" s="12">
        <f t="shared" si="6"/>
        <v>7242</v>
      </c>
      <c r="AB43" s="12">
        <f t="shared" si="7"/>
        <v>5526</v>
      </c>
      <c r="AC43" s="12">
        <f t="shared" si="8"/>
        <v>23816</v>
      </c>
      <c r="AD43" s="12">
        <f t="shared" si="3"/>
        <v>1452</v>
      </c>
      <c r="AE43" s="12">
        <f t="shared" si="4"/>
        <v>9113</v>
      </c>
      <c r="AF43" s="12">
        <f t="shared" si="4"/>
        <v>249</v>
      </c>
      <c r="AG43" s="12">
        <f t="shared" si="4"/>
        <v>2872</v>
      </c>
      <c r="AH43" s="12">
        <f t="shared" si="4"/>
        <v>1803</v>
      </c>
      <c r="AI43" s="33">
        <f t="shared" si="0"/>
        <v>76326</v>
      </c>
      <c r="AJ43" s="6">
        <f t="shared" si="5"/>
        <v>51080.142857142855</v>
      </c>
      <c r="AK43" s="6"/>
      <c r="AL43" s="9"/>
      <c r="AM43" s="9"/>
      <c r="AN43" s="9"/>
      <c r="AO43" s="9"/>
      <c r="AP43" s="9"/>
    </row>
    <row r="44" spans="3:42" ht="15.75" customHeight="1" x14ac:dyDescent="0.25">
      <c r="C44" s="13">
        <v>41099</v>
      </c>
      <c r="D44" s="1">
        <v>4199</v>
      </c>
      <c r="E44" s="1">
        <v>409</v>
      </c>
      <c r="F44" s="1">
        <v>1073</v>
      </c>
      <c r="G44" s="1">
        <v>2064</v>
      </c>
      <c r="H44" s="1">
        <v>131</v>
      </c>
      <c r="I44" s="1">
        <v>763</v>
      </c>
      <c r="J44" s="1">
        <v>1</v>
      </c>
      <c r="K44" s="1">
        <v>565</v>
      </c>
      <c r="L44" s="1">
        <v>86</v>
      </c>
      <c r="M44" s="1"/>
      <c r="N44" s="13">
        <v>41099</v>
      </c>
      <c r="O44" s="1">
        <v>12000</v>
      </c>
      <c r="P44" s="1">
        <v>3160</v>
      </c>
      <c r="Q44" s="1">
        <v>3018</v>
      </c>
      <c r="R44" s="1">
        <v>5937</v>
      </c>
      <c r="S44" s="1">
        <v>925</v>
      </c>
      <c r="T44" s="1">
        <v>5535</v>
      </c>
      <c r="U44" s="1">
        <v>159</v>
      </c>
      <c r="V44" s="1">
        <v>1643</v>
      </c>
      <c r="W44" s="1">
        <v>1069</v>
      </c>
      <c r="X44" s="1"/>
      <c r="Y44" s="13">
        <v>41099</v>
      </c>
      <c r="Z44" s="12">
        <f t="shared" si="1"/>
        <v>16199</v>
      </c>
      <c r="AA44" s="12">
        <f t="shared" si="6"/>
        <v>3569</v>
      </c>
      <c r="AB44" s="12">
        <f t="shared" si="7"/>
        <v>4091</v>
      </c>
      <c r="AC44" s="12">
        <f t="shared" si="8"/>
        <v>8001</v>
      </c>
      <c r="AD44" s="12">
        <f t="shared" si="3"/>
        <v>1056</v>
      </c>
      <c r="AE44" s="12">
        <f t="shared" si="4"/>
        <v>6298</v>
      </c>
      <c r="AF44" s="12">
        <f t="shared" si="4"/>
        <v>160</v>
      </c>
      <c r="AG44" s="12">
        <f t="shared" si="4"/>
        <v>2208</v>
      </c>
      <c r="AH44" s="12">
        <f t="shared" si="4"/>
        <v>1155</v>
      </c>
      <c r="AI44" s="33">
        <f t="shared" si="0"/>
        <v>42737</v>
      </c>
      <c r="AJ44" s="6">
        <f t="shared" ref="AJ44:AJ70" si="9">SUM(AI38:AI44)/7</f>
        <v>50614.571428571428</v>
      </c>
      <c r="AK44" s="6"/>
      <c r="AL44" s="9"/>
      <c r="AM44" s="9"/>
      <c r="AN44" s="9"/>
      <c r="AO44" s="9"/>
      <c r="AP44" s="9"/>
    </row>
    <row r="45" spans="3:42" ht="15.75" customHeight="1" x14ac:dyDescent="0.25">
      <c r="C45" s="13">
        <v>41100</v>
      </c>
      <c r="D45" s="1">
        <v>2226</v>
      </c>
      <c r="E45" s="1">
        <v>508</v>
      </c>
      <c r="F45" s="1">
        <v>939</v>
      </c>
      <c r="G45" s="1">
        <v>1732</v>
      </c>
      <c r="H45" s="1">
        <v>124</v>
      </c>
      <c r="I45" s="1">
        <v>569</v>
      </c>
      <c r="J45" s="1">
        <v>1</v>
      </c>
      <c r="K45" s="1">
        <v>446</v>
      </c>
      <c r="L45" s="1">
        <v>116</v>
      </c>
      <c r="M45" s="1"/>
      <c r="N45" s="13">
        <v>41100</v>
      </c>
      <c r="O45" s="1">
        <v>7019</v>
      </c>
      <c r="P45" s="1">
        <v>6129</v>
      </c>
      <c r="Q45" s="1">
        <v>3290</v>
      </c>
      <c r="R45" s="1">
        <v>5749</v>
      </c>
      <c r="S45" s="1">
        <v>628</v>
      </c>
      <c r="T45" s="1">
        <v>4836</v>
      </c>
      <c r="U45" s="1">
        <v>127</v>
      </c>
      <c r="V45" s="1">
        <v>1099</v>
      </c>
      <c r="W45" s="1">
        <v>1397</v>
      </c>
      <c r="X45" s="1"/>
      <c r="Y45" s="13">
        <v>41100</v>
      </c>
      <c r="Z45" s="12">
        <f t="shared" si="1"/>
        <v>9245</v>
      </c>
      <c r="AA45" s="12">
        <f t="shared" si="6"/>
        <v>6637</v>
      </c>
      <c r="AB45" s="12">
        <f t="shared" si="7"/>
        <v>4229</v>
      </c>
      <c r="AC45" s="12">
        <f t="shared" si="8"/>
        <v>7481</v>
      </c>
      <c r="AD45" s="12">
        <f t="shared" si="3"/>
        <v>752</v>
      </c>
      <c r="AE45" s="12">
        <f t="shared" si="4"/>
        <v>5405</v>
      </c>
      <c r="AF45" s="12">
        <f t="shared" si="4"/>
        <v>128</v>
      </c>
      <c r="AG45" s="12">
        <f t="shared" si="4"/>
        <v>1545</v>
      </c>
      <c r="AH45" s="12">
        <f t="shared" si="4"/>
        <v>1513</v>
      </c>
      <c r="AI45" s="33">
        <f t="shared" si="0"/>
        <v>36935</v>
      </c>
      <c r="AJ45" s="6">
        <f t="shared" si="9"/>
        <v>49447</v>
      </c>
      <c r="AK45" s="6"/>
      <c r="AL45" s="9"/>
      <c r="AM45" s="9"/>
      <c r="AN45" s="9"/>
      <c r="AO45" s="9"/>
      <c r="AP45" s="9"/>
    </row>
    <row r="46" spans="3:42" ht="15.75" customHeight="1" x14ac:dyDescent="0.25">
      <c r="C46" s="13">
        <v>41101</v>
      </c>
      <c r="D46" s="1">
        <v>2298</v>
      </c>
      <c r="E46" s="1">
        <v>533</v>
      </c>
      <c r="F46" s="1">
        <v>1220</v>
      </c>
      <c r="G46" s="1">
        <v>1920</v>
      </c>
      <c r="H46" s="1">
        <v>139</v>
      </c>
      <c r="I46" s="1">
        <v>592</v>
      </c>
      <c r="J46" s="1">
        <v>16</v>
      </c>
      <c r="K46" s="1">
        <v>513</v>
      </c>
      <c r="L46" s="1">
        <v>88</v>
      </c>
      <c r="M46" s="1"/>
      <c r="N46" s="13">
        <v>41101</v>
      </c>
      <c r="O46" s="1">
        <v>9245</v>
      </c>
      <c r="P46" s="1">
        <v>7787</v>
      </c>
      <c r="Q46" s="1">
        <v>2582</v>
      </c>
      <c r="R46" s="1">
        <v>5320</v>
      </c>
      <c r="S46" s="1">
        <v>661</v>
      </c>
      <c r="T46" s="1">
        <v>4974</v>
      </c>
      <c r="U46" s="1">
        <v>188</v>
      </c>
      <c r="V46" s="1">
        <v>1301</v>
      </c>
      <c r="W46" s="1">
        <v>865</v>
      </c>
      <c r="X46" s="1"/>
      <c r="Y46" s="13">
        <v>41101</v>
      </c>
      <c r="Z46" s="12">
        <f t="shared" si="1"/>
        <v>11543</v>
      </c>
      <c r="AA46" s="12">
        <f t="shared" si="6"/>
        <v>8320</v>
      </c>
      <c r="AB46" s="12">
        <f t="shared" si="7"/>
        <v>3802</v>
      </c>
      <c r="AC46" s="12">
        <f t="shared" si="8"/>
        <v>7240</v>
      </c>
      <c r="AD46" s="12">
        <f t="shared" si="3"/>
        <v>800</v>
      </c>
      <c r="AE46" s="12">
        <f t="shared" si="4"/>
        <v>5566</v>
      </c>
      <c r="AF46" s="12">
        <f t="shared" si="4"/>
        <v>204</v>
      </c>
      <c r="AG46" s="12">
        <f t="shared" si="4"/>
        <v>1814</v>
      </c>
      <c r="AH46" s="12">
        <f t="shared" si="4"/>
        <v>953</v>
      </c>
      <c r="AI46" s="33">
        <f t="shared" si="0"/>
        <v>40242</v>
      </c>
      <c r="AJ46" s="6">
        <f t="shared" si="9"/>
        <v>49540.714285714283</v>
      </c>
      <c r="AK46" s="6"/>
      <c r="AL46" s="9"/>
      <c r="AM46" s="9"/>
      <c r="AN46" s="9"/>
      <c r="AO46" s="9"/>
      <c r="AP46" s="9"/>
    </row>
    <row r="47" spans="3:42" ht="15.75" customHeight="1" x14ac:dyDescent="0.25">
      <c r="C47" s="13">
        <v>41102</v>
      </c>
      <c r="D47" s="1">
        <v>2392</v>
      </c>
      <c r="E47" s="1">
        <v>423</v>
      </c>
      <c r="F47" s="1">
        <v>1181</v>
      </c>
      <c r="G47" s="1">
        <v>1865</v>
      </c>
      <c r="H47" s="1">
        <v>57</v>
      </c>
      <c r="I47" s="1">
        <v>550</v>
      </c>
      <c r="J47" s="1">
        <v>5</v>
      </c>
      <c r="K47" s="1">
        <v>284</v>
      </c>
      <c r="L47" s="1">
        <v>131</v>
      </c>
      <c r="M47" s="1"/>
      <c r="N47" s="13">
        <v>41102</v>
      </c>
      <c r="O47" s="1">
        <v>11000</v>
      </c>
      <c r="P47" s="1">
        <v>5426</v>
      </c>
      <c r="Q47" s="1">
        <v>2815</v>
      </c>
      <c r="R47" s="1">
        <v>6262</v>
      </c>
      <c r="S47" s="1">
        <v>347</v>
      </c>
      <c r="T47" s="1">
        <v>4839</v>
      </c>
      <c r="U47" s="1">
        <v>297</v>
      </c>
      <c r="V47" s="1">
        <v>881</v>
      </c>
      <c r="W47" s="1">
        <v>982</v>
      </c>
      <c r="X47" s="1"/>
      <c r="Y47" s="13">
        <v>41102</v>
      </c>
      <c r="Z47" s="12">
        <f t="shared" si="1"/>
        <v>13392</v>
      </c>
      <c r="AA47" s="12">
        <f t="shared" si="6"/>
        <v>5849</v>
      </c>
      <c r="AB47" s="12">
        <f t="shared" si="7"/>
        <v>3996</v>
      </c>
      <c r="AC47" s="12">
        <f t="shared" si="8"/>
        <v>8127</v>
      </c>
      <c r="AD47" s="12">
        <f t="shared" si="3"/>
        <v>404</v>
      </c>
      <c r="AE47" s="12">
        <f t="shared" si="4"/>
        <v>5389</v>
      </c>
      <c r="AF47" s="12">
        <f t="shared" si="4"/>
        <v>302</v>
      </c>
      <c r="AG47" s="12">
        <f t="shared" si="4"/>
        <v>1165</v>
      </c>
      <c r="AH47" s="12">
        <f t="shared" si="4"/>
        <v>1113</v>
      </c>
      <c r="AI47" s="33">
        <f t="shared" si="0"/>
        <v>39737</v>
      </c>
      <c r="AJ47" s="6">
        <f t="shared" si="9"/>
        <v>49401</v>
      </c>
      <c r="AK47" s="6"/>
      <c r="AL47" s="9"/>
      <c r="AM47" s="9"/>
      <c r="AN47" s="9"/>
      <c r="AO47" s="9"/>
      <c r="AP47" s="9"/>
    </row>
    <row r="48" spans="3:42" ht="15.75" customHeight="1" x14ac:dyDescent="0.25">
      <c r="C48" s="13">
        <v>41103</v>
      </c>
      <c r="D48" s="1">
        <v>3364</v>
      </c>
      <c r="E48" s="1">
        <v>472</v>
      </c>
      <c r="F48" s="1">
        <v>9958</v>
      </c>
      <c r="G48" s="1">
        <v>2241</v>
      </c>
      <c r="H48" s="1">
        <v>68</v>
      </c>
      <c r="I48" s="1">
        <v>383</v>
      </c>
      <c r="J48" s="1">
        <v>1</v>
      </c>
      <c r="K48" s="1">
        <v>389</v>
      </c>
      <c r="L48" s="1">
        <v>135</v>
      </c>
      <c r="M48" s="1"/>
      <c r="N48" s="13">
        <v>41103</v>
      </c>
      <c r="O48" s="1">
        <v>14000</v>
      </c>
      <c r="P48" s="1">
        <v>7434</v>
      </c>
      <c r="Q48" s="1">
        <v>11000</v>
      </c>
      <c r="R48" s="1">
        <v>5880</v>
      </c>
      <c r="S48" s="1">
        <v>517</v>
      </c>
      <c r="T48" s="1">
        <v>5364</v>
      </c>
      <c r="U48" s="1">
        <v>344</v>
      </c>
      <c r="V48" s="1">
        <v>1113</v>
      </c>
      <c r="W48" s="1">
        <v>2156</v>
      </c>
      <c r="X48" s="1"/>
      <c r="Y48" s="13">
        <v>41103</v>
      </c>
      <c r="Z48" s="12">
        <f t="shared" si="1"/>
        <v>17364</v>
      </c>
      <c r="AA48" s="12">
        <f t="shared" si="6"/>
        <v>7906</v>
      </c>
      <c r="AB48" s="12">
        <f t="shared" si="7"/>
        <v>20958</v>
      </c>
      <c r="AC48" s="12">
        <f t="shared" si="8"/>
        <v>8121</v>
      </c>
      <c r="AD48" s="12">
        <f t="shared" si="3"/>
        <v>585</v>
      </c>
      <c r="AE48" s="12">
        <f t="shared" si="4"/>
        <v>5747</v>
      </c>
      <c r="AF48" s="12">
        <f t="shared" si="4"/>
        <v>345</v>
      </c>
      <c r="AG48" s="12">
        <f t="shared" si="4"/>
        <v>1502</v>
      </c>
      <c r="AH48" s="12">
        <f t="shared" si="4"/>
        <v>2291</v>
      </c>
      <c r="AI48" s="33">
        <f t="shared" si="0"/>
        <v>64819</v>
      </c>
      <c r="AJ48" s="6">
        <f t="shared" si="9"/>
        <v>52171.571428571428</v>
      </c>
      <c r="AK48" s="6"/>
      <c r="AL48" s="9"/>
      <c r="AM48" s="9"/>
      <c r="AN48" s="9"/>
      <c r="AO48" s="9"/>
      <c r="AP48" s="9"/>
    </row>
    <row r="49" spans="3:42" ht="15.75" customHeight="1" x14ac:dyDescent="0.25">
      <c r="C49" s="13">
        <v>41104</v>
      </c>
      <c r="D49" s="1">
        <v>3442</v>
      </c>
      <c r="E49" s="1">
        <v>875</v>
      </c>
      <c r="F49" s="1">
        <v>3823</v>
      </c>
      <c r="G49" s="1">
        <v>5010</v>
      </c>
      <c r="H49" s="1">
        <v>184</v>
      </c>
      <c r="I49" s="1">
        <v>959</v>
      </c>
      <c r="J49" s="1">
        <v>1</v>
      </c>
      <c r="K49" s="1">
        <v>506</v>
      </c>
      <c r="L49" s="1">
        <v>84</v>
      </c>
      <c r="M49" s="1"/>
      <c r="N49" s="13">
        <v>41104</v>
      </c>
      <c r="O49" s="1">
        <v>16512</v>
      </c>
      <c r="P49" s="1">
        <v>6431</v>
      </c>
      <c r="Q49" s="1">
        <v>3759</v>
      </c>
      <c r="R49" s="1">
        <v>23407</v>
      </c>
      <c r="S49" s="1">
        <v>663</v>
      </c>
      <c r="T49" s="1">
        <v>4610</v>
      </c>
      <c r="U49" s="1">
        <v>344</v>
      </c>
      <c r="V49" s="1">
        <v>1163</v>
      </c>
      <c r="W49" s="1">
        <v>2002</v>
      </c>
      <c r="X49" s="1"/>
      <c r="Y49" s="13">
        <v>41104</v>
      </c>
      <c r="Z49" s="12">
        <f t="shared" si="1"/>
        <v>19954</v>
      </c>
      <c r="AA49" s="12">
        <f t="shared" si="6"/>
        <v>7306</v>
      </c>
      <c r="AB49" s="12">
        <f t="shared" si="7"/>
        <v>7582</v>
      </c>
      <c r="AC49" s="12">
        <f t="shared" si="8"/>
        <v>28417</v>
      </c>
      <c r="AD49" s="12">
        <f t="shared" si="3"/>
        <v>847</v>
      </c>
      <c r="AE49" s="12">
        <f t="shared" si="4"/>
        <v>5569</v>
      </c>
      <c r="AF49" s="12">
        <f t="shared" si="4"/>
        <v>345</v>
      </c>
      <c r="AG49" s="12">
        <f t="shared" si="4"/>
        <v>1669</v>
      </c>
      <c r="AH49" s="12">
        <f t="shared" si="4"/>
        <v>2086</v>
      </c>
      <c r="AI49" s="33">
        <f t="shared" si="0"/>
        <v>73775</v>
      </c>
      <c r="AJ49" s="6">
        <f t="shared" si="9"/>
        <v>53510.142857142855</v>
      </c>
      <c r="AK49" s="6"/>
      <c r="AL49" s="9"/>
      <c r="AM49" s="9"/>
      <c r="AN49" s="9"/>
      <c r="AO49" s="9"/>
      <c r="AP49" s="9"/>
    </row>
    <row r="50" spans="3:42" ht="15.75" customHeight="1" x14ac:dyDescent="0.25">
      <c r="C50" s="13">
        <v>41105</v>
      </c>
      <c r="D50" s="1">
        <v>4795</v>
      </c>
      <c r="E50" s="1">
        <v>946</v>
      </c>
      <c r="F50" s="1">
        <v>2645</v>
      </c>
      <c r="G50" s="1">
        <v>5251</v>
      </c>
      <c r="H50" s="1">
        <v>275</v>
      </c>
      <c r="I50" s="1">
        <v>778</v>
      </c>
      <c r="J50" s="1">
        <v>0</v>
      </c>
      <c r="K50" s="1">
        <v>996</v>
      </c>
      <c r="L50" s="1">
        <v>159</v>
      </c>
      <c r="M50" s="1"/>
      <c r="N50" s="13">
        <v>41105</v>
      </c>
      <c r="O50" s="1">
        <v>119288</v>
      </c>
      <c r="P50" s="1">
        <v>9741</v>
      </c>
      <c r="Q50" s="1">
        <v>7003</v>
      </c>
      <c r="R50" s="1">
        <v>17452</v>
      </c>
      <c r="S50" s="1">
        <v>747</v>
      </c>
      <c r="T50" s="1">
        <v>9730</v>
      </c>
      <c r="U50" s="1">
        <v>922</v>
      </c>
      <c r="V50" s="1">
        <v>1517</v>
      </c>
      <c r="W50" s="1">
        <v>1625</v>
      </c>
      <c r="X50" s="1"/>
      <c r="Y50" s="13">
        <v>41105</v>
      </c>
      <c r="Z50" s="12">
        <f t="shared" si="1"/>
        <v>124083</v>
      </c>
      <c r="AA50" s="12">
        <f t="shared" si="6"/>
        <v>10687</v>
      </c>
      <c r="AB50" s="12">
        <f t="shared" si="7"/>
        <v>9648</v>
      </c>
      <c r="AC50" s="12">
        <f t="shared" si="8"/>
        <v>22703</v>
      </c>
      <c r="AD50" s="12">
        <f t="shared" si="3"/>
        <v>1022</v>
      </c>
      <c r="AE50" s="12">
        <f t="shared" si="4"/>
        <v>10508</v>
      </c>
      <c r="AF50" s="12">
        <f t="shared" si="4"/>
        <v>922</v>
      </c>
      <c r="AG50" s="12">
        <f t="shared" si="4"/>
        <v>2513</v>
      </c>
      <c r="AH50" s="12">
        <f t="shared" si="4"/>
        <v>1784</v>
      </c>
      <c r="AI50" s="33">
        <f t="shared" si="0"/>
        <v>183870</v>
      </c>
      <c r="AJ50" s="6">
        <f t="shared" si="9"/>
        <v>68873.571428571435</v>
      </c>
      <c r="AK50" s="6"/>
      <c r="AL50" s="9"/>
      <c r="AM50" s="9"/>
      <c r="AN50" s="9"/>
      <c r="AO50" s="9"/>
      <c r="AP50" s="9"/>
    </row>
    <row r="51" spans="3:42" ht="15.75" customHeight="1" x14ac:dyDescent="0.25">
      <c r="C51" s="13">
        <v>41106</v>
      </c>
      <c r="D51" s="1">
        <v>12000</v>
      </c>
      <c r="E51" s="1">
        <v>436</v>
      </c>
      <c r="F51" s="1">
        <v>1933</v>
      </c>
      <c r="G51" s="1">
        <v>2260</v>
      </c>
      <c r="H51" s="1">
        <v>179</v>
      </c>
      <c r="I51" s="1">
        <v>467</v>
      </c>
      <c r="J51" s="1">
        <v>0</v>
      </c>
      <c r="K51" s="1">
        <v>638</v>
      </c>
      <c r="L51" s="1">
        <v>130</v>
      </c>
      <c r="M51" s="1"/>
      <c r="N51" s="13">
        <v>41106</v>
      </c>
      <c r="O51" s="1">
        <v>66000</v>
      </c>
      <c r="P51" s="1">
        <v>7759</v>
      </c>
      <c r="Q51" s="1">
        <v>6056</v>
      </c>
      <c r="R51" s="1">
        <v>6862</v>
      </c>
      <c r="S51" s="1">
        <v>523</v>
      </c>
      <c r="T51" s="1">
        <v>6386</v>
      </c>
      <c r="U51" s="1">
        <v>719</v>
      </c>
      <c r="V51" s="1">
        <v>1154</v>
      </c>
      <c r="W51" s="1">
        <v>1332</v>
      </c>
      <c r="X51" s="1"/>
      <c r="Y51" s="13">
        <v>41106</v>
      </c>
      <c r="Z51" s="12">
        <f t="shared" si="1"/>
        <v>78000</v>
      </c>
      <c r="AA51" s="12">
        <f t="shared" si="6"/>
        <v>8195</v>
      </c>
      <c r="AB51" s="12">
        <f t="shared" si="7"/>
        <v>7989</v>
      </c>
      <c r="AC51" s="12">
        <f t="shared" si="8"/>
        <v>9122</v>
      </c>
      <c r="AD51" s="12">
        <f t="shared" si="3"/>
        <v>702</v>
      </c>
      <c r="AE51" s="12">
        <f t="shared" si="4"/>
        <v>6853</v>
      </c>
      <c r="AF51" s="12">
        <f t="shared" si="4"/>
        <v>719</v>
      </c>
      <c r="AG51" s="12">
        <f t="shared" si="4"/>
        <v>1792</v>
      </c>
      <c r="AH51" s="12">
        <f t="shared" si="4"/>
        <v>1462</v>
      </c>
      <c r="AI51" s="33">
        <f t="shared" si="0"/>
        <v>114834</v>
      </c>
      <c r="AJ51" s="6">
        <f t="shared" si="9"/>
        <v>79173.142857142855</v>
      </c>
      <c r="AK51" s="6"/>
      <c r="AL51" s="9"/>
      <c r="AM51" s="9"/>
      <c r="AN51" s="9"/>
      <c r="AO51" s="9"/>
      <c r="AP51" s="9"/>
    </row>
    <row r="52" spans="3:42" ht="15.75" customHeight="1" x14ac:dyDescent="0.25">
      <c r="C52" s="13">
        <v>41107</v>
      </c>
      <c r="D52" s="1">
        <v>13000</v>
      </c>
      <c r="E52" s="1">
        <v>463</v>
      </c>
      <c r="F52" s="1">
        <v>1302</v>
      </c>
      <c r="G52" s="1">
        <v>2246</v>
      </c>
      <c r="H52" s="1">
        <v>127</v>
      </c>
      <c r="I52" s="1">
        <v>389</v>
      </c>
      <c r="J52" s="1">
        <v>4</v>
      </c>
      <c r="K52" s="1">
        <v>422</v>
      </c>
      <c r="L52" s="1">
        <v>102</v>
      </c>
      <c r="M52" s="1"/>
      <c r="N52" s="13">
        <v>41107</v>
      </c>
      <c r="O52" s="1">
        <v>61000</v>
      </c>
      <c r="P52" s="1">
        <v>7307</v>
      </c>
      <c r="Q52" s="1">
        <v>4078</v>
      </c>
      <c r="R52" s="1">
        <v>7142</v>
      </c>
      <c r="S52" s="1">
        <v>438</v>
      </c>
      <c r="T52" s="1">
        <v>4192</v>
      </c>
      <c r="U52" s="1">
        <v>219</v>
      </c>
      <c r="V52" s="1">
        <v>1035</v>
      </c>
      <c r="W52" s="1">
        <v>925</v>
      </c>
      <c r="X52" s="1"/>
      <c r="Y52" s="13">
        <v>41107</v>
      </c>
      <c r="Z52" s="12">
        <f t="shared" si="1"/>
        <v>74000</v>
      </c>
      <c r="AA52" s="12">
        <f t="shared" si="6"/>
        <v>7770</v>
      </c>
      <c r="AB52" s="12">
        <f t="shared" si="7"/>
        <v>5380</v>
      </c>
      <c r="AC52" s="12">
        <f t="shared" si="8"/>
        <v>9388</v>
      </c>
      <c r="AD52" s="12">
        <f t="shared" si="3"/>
        <v>565</v>
      </c>
      <c r="AE52" s="12">
        <f t="shared" si="4"/>
        <v>4581</v>
      </c>
      <c r="AF52" s="12">
        <f t="shared" si="4"/>
        <v>223</v>
      </c>
      <c r="AG52" s="12">
        <f t="shared" si="4"/>
        <v>1457</v>
      </c>
      <c r="AH52" s="12">
        <f t="shared" si="4"/>
        <v>1027</v>
      </c>
      <c r="AI52" s="33">
        <f t="shared" si="0"/>
        <v>104391</v>
      </c>
      <c r="AJ52" s="6">
        <f t="shared" si="9"/>
        <v>88809.71428571429</v>
      </c>
      <c r="AK52" s="6"/>
      <c r="AL52" s="9"/>
      <c r="AM52" s="9"/>
      <c r="AN52" s="9"/>
      <c r="AO52" s="9"/>
      <c r="AP52" s="9"/>
    </row>
    <row r="53" spans="3:42" ht="15.75" customHeight="1" x14ac:dyDescent="0.25">
      <c r="C53" s="13">
        <v>41108</v>
      </c>
      <c r="D53" s="1">
        <v>61000</v>
      </c>
      <c r="E53" s="1">
        <v>524</v>
      </c>
      <c r="F53" s="1">
        <v>1370</v>
      </c>
      <c r="G53" s="1">
        <v>2497</v>
      </c>
      <c r="H53" s="1">
        <v>108</v>
      </c>
      <c r="I53" s="1">
        <v>423</v>
      </c>
      <c r="J53" s="1">
        <v>5</v>
      </c>
      <c r="K53" s="1">
        <v>385</v>
      </c>
      <c r="L53" s="1">
        <v>96</v>
      </c>
      <c r="M53" s="1"/>
      <c r="N53" s="13">
        <v>41108</v>
      </c>
      <c r="O53" s="1">
        <v>104000</v>
      </c>
      <c r="P53" s="1">
        <v>7635</v>
      </c>
      <c r="Q53" s="1">
        <v>3156</v>
      </c>
      <c r="R53" s="1">
        <v>7394</v>
      </c>
      <c r="S53" s="1">
        <v>556</v>
      </c>
      <c r="T53" s="1">
        <v>5856</v>
      </c>
      <c r="U53" s="1">
        <v>566</v>
      </c>
      <c r="V53" s="1">
        <v>798</v>
      </c>
      <c r="W53" s="1">
        <v>907</v>
      </c>
      <c r="X53" s="1"/>
      <c r="Y53" s="13">
        <v>41108</v>
      </c>
      <c r="Z53" s="12">
        <f t="shared" si="1"/>
        <v>165000</v>
      </c>
      <c r="AA53" s="12">
        <f t="shared" si="6"/>
        <v>8159</v>
      </c>
      <c r="AB53" s="12">
        <f t="shared" si="7"/>
        <v>4526</v>
      </c>
      <c r="AC53" s="12">
        <f t="shared" si="8"/>
        <v>9891</v>
      </c>
      <c r="AD53" s="12">
        <f t="shared" si="3"/>
        <v>664</v>
      </c>
      <c r="AE53" s="12">
        <f t="shared" si="4"/>
        <v>6279</v>
      </c>
      <c r="AF53" s="12">
        <f t="shared" si="4"/>
        <v>571</v>
      </c>
      <c r="AG53" s="12">
        <f t="shared" si="4"/>
        <v>1183</v>
      </c>
      <c r="AH53" s="12">
        <f t="shared" si="4"/>
        <v>1003</v>
      </c>
      <c r="AI53" s="33">
        <f t="shared" si="0"/>
        <v>197276</v>
      </c>
      <c r="AJ53" s="6">
        <f t="shared" si="9"/>
        <v>111243.14285714286</v>
      </c>
      <c r="AK53" s="5"/>
      <c r="AL53" s="9"/>
      <c r="AM53" s="9"/>
      <c r="AN53" s="9"/>
      <c r="AO53" s="9"/>
      <c r="AP53" s="9"/>
    </row>
    <row r="54" spans="3:42" ht="15.75" customHeight="1" x14ac:dyDescent="0.25">
      <c r="C54" s="13">
        <v>41109</v>
      </c>
      <c r="D54" s="1">
        <v>43000</v>
      </c>
      <c r="E54" s="1">
        <v>1067</v>
      </c>
      <c r="F54" s="1">
        <v>1513</v>
      </c>
      <c r="G54" s="1">
        <v>2775</v>
      </c>
      <c r="H54" s="1">
        <v>99</v>
      </c>
      <c r="I54" s="1">
        <v>595</v>
      </c>
      <c r="J54" s="1">
        <v>8</v>
      </c>
      <c r="K54" s="1">
        <v>966</v>
      </c>
      <c r="L54" s="1">
        <v>1309</v>
      </c>
      <c r="M54" s="1"/>
      <c r="N54" s="13">
        <v>41109</v>
      </c>
      <c r="O54" s="1">
        <v>162000</v>
      </c>
      <c r="P54" s="1">
        <v>14000</v>
      </c>
      <c r="Q54" s="1">
        <v>3173</v>
      </c>
      <c r="R54" s="1">
        <v>3713</v>
      </c>
      <c r="S54" s="1">
        <v>660</v>
      </c>
      <c r="T54" s="1">
        <v>3649</v>
      </c>
      <c r="U54" s="1">
        <v>300</v>
      </c>
      <c r="V54" s="1">
        <v>1124</v>
      </c>
      <c r="W54" s="1">
        <v>3553</v>
      </c>
      <c r="X54" s="1"/>
      <c r="Y54" s="13">
        <v>41109</v>
      </c>
      <c r="Z54" s="12">
        <f t="shared" si="1"/>
        <v>205000</v>
      </c>
      <c r="AA54" s="12">
        <f t="shared" si="6"/>
        <v>15067</v>
      </c>
      <c r="AB54" s="12">
        <f t="shared" si="7"/>
        <v>4686</v>
      </c>
      <c r="AC54" s="12">
        <f t="shared" si="8"/>
        <v>6488</v>
      </c>
      <c r="AD54" s="12">
        <f t="shared" si="3"/>
        <v>759</v>
      </c>
      <c r="AE54" s="12">
        <f t="shared" si="4"/>
        <v>4244</v>
      </c>
      <c r="AF54" s="12">
        <f t="shared" si="4"/>
        <v>308</v>
      </c>
      <c r="AG54" s="12">
        <f t="shared" si="4"/>
        <v>2090</v>
      </c>
      <c r="AH54" s="12">
        <f t="shared" si="4"/>
        <v>4862</v>
      </c>
      <c r="AI54" s="33">
        <f t="shared" si="0"/>
        <v>243504</v>
      </c>
      <c r="AJ54" s="6">
        <f t="shared" si="9"/>
        <v>140352.71428571429</v>
      </c>
      <c r="AK54" s="5"/>
      <c r="AL54" s="9"/>
      <c r="AM54" s="9"/>
      <c r="AN54" s="9"/>
      <c r="AO54" s="9"/>
      <c r="AP54" s="9"/>
    </row>
    <row r="55" spans="3:42" ht="15.75" customHeight="1" x14ac:dyDescent="0.25">
      <c r="C55" s="13">
        <v>41110</v>
      </c>
      <c r="D55" s="1">
        <v>17332</v>
      </c>
      <c r="E55" s="1">
        <v>2082</v>
      </c>
      <c r="F55" s="1">
        <v>1338</v>
      </c>
      <c r="G55" s="1">
        <v>3292</v>
      </c>
      <c r="H55" s="1">
        <v>71</v>
      </c>
      <c r="I55" s="1">
        <v>466</v>
      </c>
      <c r="J55" s="1">
        <v>6</v>
      </c>
      <c r="K55" s="1">
        <v>908</v>
      </c>
      <c r="L55" s="1">
        <v>667</v>
      </c>
      <c r="M55" s="1"/>
      <c r="N55" s="13">
        <v>41110</v>
      </c>
      <c r="O55" s="1">
        <v>68317</v>
      </c>
      <c r="P55" s="1">
        <v>14422</v>
      </c>
      <c r="Q55" s="1">
        <v>3799</v>
      </c>
      <c r="R55" s="1">
        <v>22693</v>
      </c>
      <c r="S55" s="1">
        <v>2415</v>
      </c>
      <c r="T55" s="1">
        <v>6495</v>
      </c>
      <c r="U55" s="1">
        <v>414</v>
      </c>
      <c r="V55" s="1">
        <v>1356</v>
      </c>
      <c r="W55" s="1">
        <v>2541</v>
      </c>
      <c r="X55" s="1"/>
      <c r="Y55" s="13">
        <v>41110</v>
      </c>
      <c r="Z55" s="12">
        <f t="shared" ref="Z55:AH55" si="10">SUM(D55+O55)</f>
        <v>85649</v>
      </c>
      <c r="AA55" s="12">
        <f t="shared" si="10"/>
        <v>16504</v>
      </c>
      <c r="AB55" s="12">
        <f t="shared" si="10"/>
        <v>5137</v>
      </c>
      <c r="AC55" s="12">
        <f t="shared" si="10"/>
        <v>25985</v>
      </c>
      <c r="AD55" s="12">
        <f t="shared" si="10"/>
        <v>2486</v>
      </c>
      <c r="AE55" s="12">
        <f t="shared" si="10"/>
        <v>6961</v>
      </c>
      <c r="AF55" s="12">
        <f t="shared" si="10"/>
        <v>420</v>
      </c>
      <c r="AG55" s="12">
        <f t="shared" si="10"/>
        <v>2264</v>
      </c>
      <c r="AH55" s="12">
        <f t="shared" si="10"/>
        <v>3208</v>
      </c>
      <c r="AI55" s="33">
        <f>SUM(Z55:AH55)</f>
        <v>148614</v>
      </c>
      <c r="AJ55" s="6">
        <f t="shared" si="9"/>
        <v>152323.42857142858</v>
      </c>
      <c r="AK55" s="5"/>
      <c r="AL55" s="9"/>
      <c r="AM55" s="9"/>
      <c r="AN55" s="9"/>
      <c r="AO55" s="9"/>
      <c r="AP55" s="9"/>
    </row>
    <row r="56" spans="3:42" ht="15.75" customHeight="1" x14ac:dyDescent="0.25">
      <c r="C56" s="13">
        <v>41111</v>
      </c>
      <c r="D56" s="20">
        <v>15405</v>
      </c>
      <c r="E56" s="20">
        <v>14707</v>
      </c>
      <c r="F56" s="20">
        <v>1887</v>
      </c>
      <c r="G56" s="20">
        <v>6051</v>
      </c>
      <c r="H56" s="20">
        <v>191</v>
      </c>
      <c r="I56" s="20">
        <v>972</v>
      </c>
      <c r="J56" s="20">
        <v>17</v>
      </c>
      <c r="K56" s="20">
        <v>578</v>
      </c>
      <c r="L56" s="20">
        <v>197</v>
      </c>
      <c r="M56" s="1"/>
      <c r="N56" s="13">
        <v>41111</v>
      </c>
      <c r="O56" s="20">
        <v>88011</v>
      </c>
      <c r="P56" s="20">
        <v>38135</v>
      </c>
      <c r="Q56" s="20">
        <v>4720</v>
      </c>
      <c r="R56" s="20">
        <v>21343</v>
      </c>
      <c r="S56" s="20">
        <v>1960</v>
      </c>
      <c r="T56" s="20">
        <v>10119</v>
      </c>
      <c r="U56" s="20">
        <v>2799</v>
      </c>
      <c r="V56" s="20">
        <v>2293</v>
      </c>
      <c r="W56" s="20">
        <v>2702</v>
      </c>
      <c r="X56" s="1"/>
      <c r="Y56" s="13">
        <v>41111</v>
      </c>
      <c r="Z56" s="12">
        <f t="shared" ref="Z56:Z61" si="11">SUM(D56+O56)</f>
        <v>103416</v>
      </c>
      <c r="AA56" s="12">
        <f t="shared" ref="AA56:AA61" si="12">SUM(E56+P56)</f>
        <v>52842</v>
      </c>
      <c r="AB56" s="12">
        <f t="shared" ref="AB56:AB61" si="13">SUM(F56+Q56)</f>
        <v>6607</v>
      </c>
      <c r="AC56" s="12">
        <f t="shared" ref="AC56:AC61" si="14">SUM(G56+R56)</f>
        <v>27394</v>
      </c>
      <c r="AD56" s="12">
        <f t="shared" ref="AD56:AD61" si="15">SUM(H56+S56)</f>
        <v>2151</v>
      </c>
      <c r="AE56" s="12">
        <f t="shared" ref="AE56:AE61" si="16">SUM(I56+T56)</f>
        <v>11091</v>
      </c>
      <c r="AF56" s="12">
        <f t="shared" ref="AF56:AF61" si="17">SUM(J56+U56)</f>
        <v>2816</v>
      </c>
      <c r="AG56" s="12">
        <f t="shared" ref="AG56:AG61" si="18">SUM(K56+V56)</f>
        <v>2871</v>
      </c>
      <c r="AH56" s="12">
        <f t="shared" ref="AH56:AH61" si="19">SUM(L56+W56)</f>
        <v>2899</v>
      </c>
      <c r="AI56" s="33">
        <f t="shared" ref="AI56:AI61" si="20">SUM(Z56:AH56)</f>
        <v>212087</v>
      </c>
      <c r="AJ56" s="6">
        <f t="shared" si="9"/>
        <v>172082.28571428571</v>
      </c>
      <c r="AK56" s="5"/>
      <c r="AL56" s="9"/>
      <c r="AM56" s="9"/>
      <c r="AN56" s="9"/>
      <c r="AO56" s="9"/>
      <c r="AP56" s="9"/>
    </row>
    <row r="57" spans="3:42" ht="15.75" customHeight="1" x14ac:dyDescent="0.25">
      <c r="C57" s="13">
        <v>41112</v>
      </c>
      <c r="D57" s="20">
        <v>17424</v>
      </c>
      <c r="E57" s="20">
        <v>11050</v>
      </c>
      <c r="F57" s="20">
        <v>1660</v>
      </c>
      <c r="G57" s="20">
        <v>5704</v>
      </c>
      <c r="H57" s="20">
        <v>214</v>
      </c>
      <c r="I57" s="20">
        <v>1034</v>
      </c>
      <c r="J57" s="20">
        <v>16</v>
      </c>
      <c r="K57" s="20">
        <v>770</v>
      </c>
      <c r="L57" s="20">
        <v>264</v>
      </c>
      <c r="M57" s="1"/>
      <c r="N57" s="13">
        <v>41112</v>
      </c>
      <c r="O57" s="20">
        <v>70358</v>
      </c>
      <c r="P57" s="20">
        <v>38108</v>
      </c>
      <c r="Q57" s="20">
        <v>3466</v>
      </c>
      <c r="R57" s="20">
        <v>18763</v>
      </c>
      <c r="S57" s="20">
        <v>585</v>
      </c>
      <c r="T57" s="20">
        <v>8577</v>
      </c>
      <c r="U57" s="20">
        <v>1003</v>
      </c>
      <c r="V57" s="20">
        <v>1746</v>
      </c>
      <c r="W57" s="20">
        <v>2749</v>
      </c>
      <c r="X57" s="1"/>
      <c r="Y57" s="13">
        <v>41112</v>
      </c>
      <c r="Z57" s="12">
        <f t="shared" si="11"/>
        <v>87782</v>
      </c>
      <c r="AA57" s="12">
        <f t="shared" si="12"/>
        <v>49158</v>
      </c>
      <c r="AB57" s="12">
        <f t="shared" si="13"/>
        <v>5126</v>
      </c>
      <c r="AC57" s="12">
        <f t="shared" si="14"/>
        <v>24467</v>
      </c>
      <c r="AD57" s="12">
        <f t="shared" si="15"/>
        <v>799</v>
      </c>
      <c r="AE57" s="12">
        <f t="shared" si="16"/>
        <v>9611</v>
      </c>
      <c r="AF57" s="12">
        <f t="shared" si="17"/>
        <v>1019</v>
      </c>
      <c r="AG57" s="12">
        <f t="shared" si="18"/>
        <v>2516</v>
      </c>
      <c r="AH57" s="12">
        <f t="shared" si="19"/>
        <v>3013</v>
      </c>
      <c r="AI57" s="33">
        <f t="shared" si="20"/>
        <v>183491</v>
      </c>
      <c r="AJ57" s="6">
        <f t="shared" si="9"/>
        <v>172028.14285714287</v>
      </c>
      <c r="AK57" s="9"/>
      <c r="AL57" s="9"/>
      <c r="AM57" s="9"/>
      <c r="AN57" s="9"/>
      <c r="AO57" s="9"/>
      <c r="AP57" s="9"/>
    </row>
    <row r="58" spans="3:42" ht="15.75" customHeight="1" x14ac:dyDescent="0.25">
      <c r="C58" s="13">
        <v>41113</v>
      </c>
      <c r="D58" s="20">
        <v>11598</v>
      </c>
      <c r="E58" s="20">
        <v>7864</v>
      </c>
      <c r="F58" s="20">
        <v>1198</v>
      </c>
      <c r="G58" s="20">
        <v>4015</v>
      </c>
      <c r="H58" s="20">
        <v>97</v>
      </c>
      <c r="I58" s="20">
        <v>615</v>
      </c>
      <c r="J58" s="20">
        <v>6</v>
      </c>
      <c r="K58" s="20">
        <v>353</v>
      </c>
      <c r="L58" s="20">
        <v>165</v>
      </c>
      <c r="N58" s="13">
        <v>41113</v>
      </c>
      <c r="O58" s="20">
        <v>54577</v>
      </c>
      <c r="P58" s="20">
        <v>24493</v>
      </c>
      <c r="Q58" s="20">
        <v>2860</v>
      </c>
      <c r="R58" s="20">
        <v>15927</v>
      </c>
      <c r="S58" s="20">
        <v>1624</v>
      </c>
      <c r="T58" s="20">
        <v>5896</v>
      </c>
      <c r="U58" s="20">
        <v>1032</v>
      </c>
      <c r="V58" s="20">
        <v>1323</v>
      </c>
      <c r="W58" s="20">
        <v>1891</v>
      </c>
      <c r="Y58" s="13">
        <v>41113</v>
      </c>
      <c r="Z58" s="12">
        <f t="shared" si="11"/>
        <v>66175</v>
      </c>
      <c r="AA58" s="12">
        <f t="shared" si="12"/>
        <v>32357</v>
      </c>
      <c r="AB58" s="12">
        <f t="shared" si="13"/>
        <v>4058</v>
      </c>
      <c r="AC58" s="12">
        <f t="shared" si="14"/>
        <v>19942</v>
      </c>
      <c r="AD58" s="12">
        <f t="shared" si="15"/>
        <v>1721</v>
      </c>
      <c r="AE58" s="12">
        <f t="shared" si="16"/>
        <v>6511</v>
      </c>
      <c r="AF58" s="12">
        <f t="shared" si="17"/>
        <v>1038</v>
      </c>
      <c r="AG58" s="12">
        <f t="shared" si="18"/>
        <v>1676</v>
      </c>
      <c r="AH58" s="12">
        <f t="shared" si="19"/>
        <v>2056</v>
      </c>
      <c r="AI58" s="33">
        <f t="shared" si="20"/>
        <v>135534</v>
      </c>
      <c r="AJ58" s="6">
        <f t="shared" si="9"/>
        <v>174985.28571428571</v>
      </c>
    </row>
    <row r="59" spans="3:42" ht="15.75" customHeight="1" x14ac:dyDescent="0.25">
      <c r="C59" s="13">
        <v>41114</v>
      </c>
      <c r="D59" s="20">
        <v>7051</v>
      </c>
      <c r="E59" s="20">
        <v>6462</v>
      </c>
      <c r="F59" s="20">
        <v>1848</v>
      </c>
      <c r="G59" s="20">
        <v>4305</v>
      </c>
      <c r="H59" s="20">
        <v>82</v>
      </c>
      <c r="I59" s="20">
        <v>664</v>
      </c>
      <c r="J59" s="20">
        <v>2</v>
      </c>
      <c r="K59" s="20">
        <v>543</v>
      </c>
      <c r="L59" s="20">
        <v>142</v>
      </c>
      <c r="N59" s="13">
        <v>41114</v>
      </c>
      <c r="O59" s="20">
        <v>35354</v>
      </c>
      <c r="P59" s="20">
        <v>24542</v>
      </c>
      <c r="Q59" s="20">
        <v>3929</v>
      </c>
      <c r="R59" s="20">
        <v>18309</v>
      </c>
      <c r="S59" s="20">
        <v>1457</v>
      </c>
      <c r="T59" s="20">
        <v>7275</v>
      </c>
      <c r="U59" s="20">
        <v>401</v>
      </c>
      <c r="V59" s="20">
        <v>1789</v>
      </c>
      <c r="W59" s="20">
        <v>2913</v>
      </c>
      <c r="Y59" s="13">
        <v>41114</v>
      </c>
      <c r="Z59" s="12">
        <f t="shared" si="11"/>
        <v>42405</v>
      </c>
      <c r="AA59" s="12">
        <f t="shared" si="12"/>
        <v>31004</v>
      </c>
      <c r="AB59" s="12">
        <f t="shared" si="13"/>
        <v>5777</v>
      </c>
      <c r="AC59" s="12">
        <f t="shared" si="14"/>
        <v>22614</v>
      </c>
      <c r="AD59" s="12">
        <f t="shared" si="15"/>
        <v>1539</v>
      </c>
      <c r="AE59" s="12">
        <f t="shared" si="16"/>
        <v>7939</v>
      </c>
      <c r="AF59" s="12">
        <f t="shared" si="17"/>
        <v>403</v>
      </c>
      <c r="AG59" s="12">
        <f t="shared" si="18"/>
        <v>2332</v>
      </c>
      <c r="AH59" s="12">
        <f t="shared" si="19"/>
        <v>3055</v>
      </c>
      <c r="AI59" s="33">
        <f t="shared" si="20"/>
        <v>117068</v>
      </c>
      <c r="AJ59" s="6">
        <f t="shared" si="9"/>
        <v>176796.28571428571</v>
      </c>
    </row>
    <row r="60" spans="3:42" x14ac:dyDescent="0.25">
      <c r="C60" s="13">
        <v>41115</v>
      </c>
      <c r="D60" s="20">
        <v>5011</v>
      </c>
      <c r="E60" s="20">
        <v>15189</v>
      </c>
      <c r="F60" s="20">
        <v>2347</v>
      </c>
      <c r="G60" s="20">
        <v>3902</v>
      </c>
      <c r="H60" s="20">
        <v>118</v>
      </c>
      <c r="I60" s="20">
        <v>726</v>
      </c>
      <c r="J60" s="20">
        <v>1</v>
      </c>
      <c r="K60" s="20">
        <v>1008</v>
      </c>
      <c r="L60" s="20">
        <v>78</v>
      </c>
      <c r="N60" s="13">
        <v>41115</v>
      </c>
      <c r="O60" s="20">
        <v>33028</v>
      </c>
      <c r="P60" s="20">
        <v>25365</v>
      </c>
      <c r="Q60" s="20">
        <v>4878</v>
      </c>
      <c r="R60" s="20">
        <v>21296</v>
      </c>
      <c r="S60" s="20">
        <v>1635</v>
      </c>
      <c r="T60" s="20">
        <v>8990</v>
      </c>
      <c r="U60" s="20">
        <v>607</v>
      </c>
      <c r="V60" s="20">
        <v>1623</v>
      </c>
      <c r="W60" s="20">
        <v>2872</v>
      </c>
      <c r="Y60" s="13">
        <v>41115</v>
      </c>
      <c r="Z60" s="12">
        <f t="shared" si="11"/>
        <v>38039</v>
      </c>
      <c r="AA60" s="12">
        <f t="shared" si="12"/>
        <v>40554</v>
      </c>
      <c r="AB60" s="12">
        <f t="shared" si="13"/>
        <v>7225</v>
      </c>
      <c r="AC60" s="12">
        <f t="shared" si="14"/>
        <v>25198</v>
      </c>
      <c r="AD60" s="12">
        <f t="shared" si="15"/>
        <v>1753</v>
      </c>
      <c r="AE60" s="12">
        <f t="shared" si="16"/>
        <v>9716</v>
      </c>
      <c r="AF60" s="12">
        <f t="shared" si="17"/>
        <v>608</v>
      </c>
      <c r="AG60" s="12">
        <f t="shared" si="18"/>
        <v>2631</v>
      </c>
      <c r="AH60" s="12">
        <f t="shared" si="19"/>
        <v>2950</v>
      </c>
      <c r="AI60" s="33">
        <f t="shared" si="20"/>
        <v>128674</v>
      </c>
      <c r="AJ60" s="6">
        <f t="shared" si="9"/>
        <v>166996</v>
      </c>
    </row>
    <row r="61" spans="3:42" x14ac:dyDescent="0.25">
      <c r="C61" s="26">
        <v>41116</v>
      </c>
      <c r="D61" s="27">
        <v>5286</v>
      </c>
      <c r="E61" s="27">
        <v>12893</v>
      </c>
      <c r="F61" s="27">
        <v>1363</v>
      </c>
      <c r="G61" s="27">
        <v>3258</v>
      </c>
      <c r="H61" s="27">
        <v>152</v>
      </c>
      <c r="I61" s="27">
        <v>573</v>
      </c>
      <c r="J61" s="27">
        <v>1</v>
      </c>
      <c r="K61" s="27">
        <v>812</v>
      </c>
      <c r="L61" s="27">
        <v>116</v>
      </c>
      <c r="N61" s="26">
        <v>41116</v>
      </c>
      <c r="O61" s="27">
        <v>29930</v>
      </c>
      <c r="P61" s="27">
        <v>23595</v>
      </c>
      <c r="Q61" s="27">
        <v>2931</v>
      </c>
      <c r="R61" s="27">
        <v>17802</v>
      </c>
      <c r="S61" s="27">
        <v>1930</v>
      </c>
      <c r="T61" s="27">
        <v>6405</v>
      </c>
      <c r="U61" s="27">
        <v>632</v>
      </c>
      <c r="V61" s="27">
        <v>1833</v>
      </c>
      <c r="W61" s="27">
        <v>1743</v>
      </c>
      <c r="Y61" s="26">
        <v>41116</v>
      </c>
      <c r="Z61" s="12">
        <f t="shared" si="11"/>
        <v>35216</v>
      </c>
      <c r="AA61" s="12">
        <f t="shared" si="12"/>
        <v>36488</v>
      </c>
      <c r="AB61" s="12">
        <f t="shared" si="13"/>
        <v>4294</v>
      </c>
      <c r="AC61" s="12">
        <f t="shared" si="14"/>
        <v>21060</v>
      </c>
      <c r="AD61" s="12">
        <f t="shared" si="15"/>
        <v>2082</v>
      </c>
      <c r="AE61" s="12">
        <f t="shared" si="16"/>
        <v>6978</v>
      </c>
      <c r="AF61" s="12">
        <f t="shared" si="17"/>
        <v>633</v>
      </c>
      <c r="AG61" s="12">
        <f t="shared" si="18"/>
        <v>2645</v>
      </c>
      <c r="AH61" s="12">
        <f t="shared" si="19"/>
        <v>1859</v>
      </c>
      <c r="AI61" s="33">
        <f t="shared" si="20"/>
        <v>111255</v>
      </c>
      <c r="AJ61" s="6">
        <f t="shared" si="9"/>
        <v>148103.28571428571</v>
      </c>
    </row>
    <row r="62" spans="3:42" x14ac:dyDescent="0.25">
      <c r="C62" s="26">
        <v>41117</v>
      </c>
      <c r="D62" s="27">
        <v>3957</v>
      </c>
      <c r="E62" s="27">
        <v>17063</v>
      </c>
      <c r="F62" s="27">
        <v>1358</v>
      </c>
      <c r="G62" s="27">
        <v>2411</v>
      </c>
      <c r="H62" s="27">
        <v>153</v>
      </c>
      <c r="I62" s="27">
        <v>651</v>
      </c>
      <c r="J62" s="27">
        <v>3</v>
      </c>
      <c r="K62" s="27">
        <v>1150</v>
      </c>
      <c r="L62" s="27">
        <v>78</v>
      </c>
      <c r="N62" s="26">
        <v>41117</v>
      </c>
      <c r="O62" s="27">
        <v>25807</v>
      </c>
      <c r="P62" s="27">
        <v>26556</v>
      </c>
      <c r="Q62" s="27">
        <v>2213</v>
      </c>
      <c r="R62" s="27">
        <v>11074</v>
      </c>
      <c r="S62" s="27">
        <v>1929</v>
      </c>
      <c r="T62" s="27">
        <v>7628</v>
      </c>
      <c r="U62" s="27">
        <v>238</v>
      </c>
      <c r="V62" s="27">
        <v>2267</v>
      </c>
      <c r="W62" s="27">
        <v>2304</v>
      </c>
      <c r="Y62" s="26">
        <v>41117</v>
      </c>
      <c r="Z62" s="12">
        <f t="shared" ref="Z62:AH62" si="21">SUM(D62+O62)</f>
        <v>29764</v>
      </c>
      <c r="AA62" s="12">
        <f t="shared" si="21"/>
        <v>43619</v>
      </c>
      <c r="AB62" s="12">
        <f t="shared" si="21"/>
        <v>3571</v>
      </c>
      <c r="AC62" s="12">
        <f t="shared" si="21"/>
        <v>13485</v>
      </c>
      <c r="AD62" s="12">
        <f t="shared" si="21"/>
        <v>2082</v>
      </c>
      <c r="AE62" s="12">
        <f t="shared" si="21"/>
        <v>8279</v>
      </c>
      <c r="AF62" s="12">
        <f t="shared" si="21"/>
        <v>241</v>
      </c>
      <c r="AG62" s="12">
        <f t="shared" si="21"/>
        <v>3417</v>
      </c>
      <c r="AH62" s="12">
        <f t="shared" si="21"/>
        <v>2382</v>
      </c>
      <c r="AI62" s="33">
        <f>SUM(Z62:AH62)</f>
        <v>106840</v>
      </c>
      <c r="AJ62" s="6">
        <f t="shared" si="9"/>
        <v>142135.57142857142</v>
      </c>
    </row>
    <row r="63" spans="3:42" x14ac:dyDescent="0.25">
      <c r="C63" s="26">
        <v>41118</v>
      </c>
      <c r="D63" s="27">
        <v>4867</v>
      </c>
      <c r="E63" s="27">
        <v>31516</v>
      </c>
      <c r="F63" s="27">
        <v>2119</v>
      </c>
      <c r="G63" s="27">
        <v>4899</v>
      </c>
      <c r="H63" s="27">
        <v>352</v>
      </c>
      <c r="I63" s="27">
        <v>1062</v>
      </c>
      <c r="J63" s="27">
        <v>2</v>
      </c>
      <c r="K63" s="27">
        <v>1160</v>
      </c>
      <c r="L63" s="27">
        <v>185</v>
      </c>
      <c r="N63" s="26">
        <v>41118</v>
      </c>
      <c r="O63" s="30">
        <v>32093</v>
      </c>
      <c r="P63" s="27">
        <v>68444</v>
      </c>
      <c r="Q63" s="27">
        <v>3792</v>
      </c>
      <c r="R63" s="27">
        <v>25392</v>
      </c>
      <c r="S63" s="27">
        <v>751</v>
      </c>
      <c r="T63" s="27">
        <v>9519</v>
      </c>
      <c r="U63" s="27">
        <v>260</v>
      </c>
      <c r="V63" s="27">
        <v>3084</v>
      </c>
      <c r="W63" s="27">
        <v>4315</v>
      </c>
      <c r="Y63" s="26">
        <v>41118</v>
      </c>
      <c r="Z63" s="31">
        <f t="shared" ref="Z63:AH70" si="22">SUM(D63+O63)</f>
        <v>36960</v>
      </c>
      <c r="AA63" s="31">
        <f t="shared" ref="AA63:AH64" si="23">SUM(E63+P63)</f>
        <v>99960</v>
      </c>
      <c r="AB63" s="31">
        <f t="shared" si="23"/>
        <v>5911</v>
      </c>
      <c r="AC63" s="31">
        <f t="shared" si="23"/>
        <v>30291</v>
      </c>
      <c r="AD63" s="31">
        <f t="shared" si="23"/>
        <v>1103</v>
      </c>
      <c r="AE63" s="31">
        <f t="shared" si="23"/>
        <v>10581</v>
      </c>
      <c r="AF63" s="31">
        <f t="shared" si="23"/>
        <v>262</v>
      </c>
      <c r="AG63" s="31">
        <f t="shared" si="23"/>
        <v>4244</v>
      </c>
      <c r="AH63" s="31">
        <f t="shared" si="23"/>
        <v>4500</v>
      </c>
      <c r="AI63" s="34">
        <f>SUM(Z63:AH63)</f>
        <v>193812</v>
      </c>
      <c r="AJ63" s="32">
        <f t="shared" si="9"/>
        <v>139524.85714285713</v>
      </c>
    </row>
    <row r="64" spans="3:42" x14ac:dyDescent="0.25">
      <c r="C64" s="26">
        <v>41119</v>
      </c>
      <c r="D64" s="27">
        <v>5977</v>
      </c>
      <c r="E64" s="27">
        <v>38247</v>
      </c>
      <c r="F64" s="27">
        <v>2028</v>
      </c>
      <c r="G64" s="27">
        <v>4506</v>
      </c>
      <c r="H64" s="27">
        <v>344</v>
      </c>
      <c r="I64" s="27">
        <v>1019</v>
      </c>
      <c r="J64" s="27">
        <v>66</v>
      </c>
      <c r="K64" s="27">
        <v>889</v>
      </c>
      <c r="L64" s="27">
        <v>843</v>
      </c>
      <c r="N64" s="26">
        <v>41119</v>
      </c>
      <c r="O64" s="27">
        <v>33750</v>
      </c>
      <c r="P64" s="27">
        <v>65516</v>
      </c>
      <c r="Q64" s="27">
        <v>4730</v>
      </c>
      <c r="R64" s="27">
        <v>21359</v>
      </c>
      <c r="S64" s="27">
        <v>1189</v>
      </c>
      <c r="T64" s="27">
        <v>11341</v>
      </c>
      <c r="U64" s="27">
        <v>491</v>
      </c>
      <c r="V64" s="27">
        <v>2220</v>
      </c>
      <c r="W64" s="27">
        <v>5067</v>
      </c>
      <c r="Y64" s="26">
        <v>41119</v>
      </c>
      <c r="Z64" s="31">
        <f t="shared" si="22"/>
        <v>39727</v>
      </c>
      <c r="AA64" s="31">
        <f t="shared" si="23"/>
        <v>103763</v>
      </c>
      <c r="AB64" s="31">
        <f t="shared" si="23"/>
        <v>6758</v>
      </c>
      <c r="AC64" s="31">
        <f t="shared" si="23"/>
        <v>25865</v>
      </c>
      <c r="AD64" s="31">
        <f t="shared" si="23"/>
        <v>1533</v>
      </c>
      <c r="AE64" s="31">
        <f t="shared" si="23"/>
        <v>12360</v>
      </c>
      <c r="AF64" s="31">
        <f t="shared" si="23"/>
        <v>557</v>
      </c>
      <c r="AG64" s="31">
        <f t="shared" si="23"/>
        <v>3109</v>
      </c>
      <c r="AH64" s="31">
        <f t="shared" si="23"/>
        <v>5910</v>
      </c>
      <c r="AI64" s="34">
        <f>SUM(Z64:AH64)</f>
        <v>199582</v>
      </c>
      <c r="AJ64" s="32">
        <f t="shared" si="9"/>
        <v>141823.57142857142</v>
      </c>
    </row>
    <row r="65" spans="3:36" x14ac:dyDescent="0.25">
      <c r="C65" s="26">
        <v>41120</v>
      </c>
      <c r="D65" s="27">
        <v>4202</v>
      </c>
      <c r="E65" s="27">
        <v>27934</v>
      </c>
      <c r="F65" s="27">
        <v>1316</v>
      </c>
      <c r="G65" s="27">
        <v>3313</v>
      </c>
      <c r="H65" s="27">
        <v>248</v>
      </c>
      <c r="I65" s="27">
        <v>625</v>
      </c>
      <c r="J65" s="27">
        <v>46</v>
      </c>
      <c r="K65" s="27">
        <v>558</v>
      </c>
      <c r="L65" s="27">
        <v>485</v>
      </c>
      <c r="N65" s="26">
        <v>41120</v>
      </c>
      <c r="O65" s="27">
        <v>24049</v>
      </c>
      <c r="P65" s="27">
        <v>41940</v>
      </c>
      <c r="Q65" s="27">
        <v>3783</v>
      </c>
      <c r="R65" s="27">
        <v>16444</v>
      </c>
      <c r="S65" s="27">
        <v>3777</v>
      </c>
      <c r="T65" s="27">
        <v>8520</v>
      </c>
      <c r="U65" s="27">
        <v>276</v>
      </c>
      <c r="V65" s="27">
        <v>1640</v>
      </c>
      <c r="W65" s="27">
        <v>4126</v>
      </c>
      <c r="Y65" s="26">
        <v>41120</v>
      </c>
      <c r="Z65" s="28">
        <f t="shared" si="22"/>
        <v>28251</v>
      </c>
      <c r="AA65" s="28">
        <f t="shared" si="22"/>
        <v>69874</v>
      </c>
      <c r="AB65" s="28">
        <f t="shared" si="22"/>
        <v>5099</v>
      </c>
      <c r="AC65" s="28">
        <f t="shared" si="22"/>
        <v>19757</v>
      </c>
      <c r="AD65" s="28">
        <f t="shared" si="22"/>
        <v>4025</v>
      </c>
      <c r="AE65" s="28">
        <f t="shared" si="22"/>
        <v>9145</v>
      </c>
      <c r="AF65" s="28">
        <f t="shared" si="22"/>
        <v>322</v>
      </c>
      <c r="AG65" s="28">
        <f t="shared" si="22"/>
        <v>2198</v>
      </c>
      <c r="AH65" s="28">
        <f t="shared" si="22"/>
        <v>4611</v>
      </c>
      <c r="AI65" s="34">
        <f t="shared" ref="AI65:AI69" si="24">SUM(Z65:AH65)</f>
        <v>143282</v>
      </c>
      <c r="AJ65" s="29">
        <f t="shared" si="9"/>
        <v>142930.42857142858</v>
      </c>
    </row>
    <row r="66" spans="3:36" x14ac:dyDescent="0.25">
      <c r="C66" s="26">
        <v>41121</v>
      </c>
      <c r="D66" s="27">
        <v>2827</v>
      </c>
      <c r="E66" s="27">
        <v>33196</v>
      </c>
      <c r="F66" s="27">
        <v>1152</v>
      </c>
      <c r="G66" s="27">
        <v>3643</v>
      </c>
      <c r="H66" s="27">
        <v>102</v>
      </c>
      <c r="I66" s="27">
        <v>669</v>
      </c>
      <c r="J66" s="27">
        <v>17</v>
      </c>
      <c r="K66" s="27">
        <v>511</v>
      </c>
      <c r="L66" s="27">
        <v>229</v>
      </c>
      <c r="N66" s="26">
        <v>41121</v>
      </c>
      <c r="O66" s="27">
        <v>27266</v>
      </c>
      <c r="P66" s="27">
        <v>38229</v>
      </c>
      <c r="Q66" s="27">
        <v>2839</v>
      </c>
      <c r="R66" s="27">
        <v>16290</v>
      </c>
      <c r="S66" s="27">
        <v>4135</v>
      </c>
      <c r="T66" s="27">
        <v>7955</v>
      </c>
      <c r="U66" s="27">
        <v>754</v>
      </c>
      <c r="V66" s="27">
        <v>1210</v>
      </c>
      <c r="W66" s="27">
        <v>2273</v>
      </c>
      <c r="Y66" s="26">
        <v>41121</v>
      </c>
      <c r="Z66" s="28">
        <f t="shared" si="22"/>
        <v>30093</v>
      </c>
      <c r="AA66" s="28">
        <f t="shared" si="22"/>
        <v>71425</v>
      </c>
      <c r="AB66" s="28">
        <f t="shared" si="22"/>
        <v>3991</v>
      </c>
      <c r="AC66" s="28">
        <f t="shared" si="22"/>
        <v>19933</v>
      </c>
      <c r="AD66" s="28">
        <f t="shared" si="22"/>
        <v>4237</v>
      </c>
      <c r="AE66" s="28">
        <f t="shared" si="22"/>
        <v>8624</v>
      </c>
      <c r="AF66" s="28">
        <f t="shared" si="22"/>
        <v>771</v>
      </c>
      <c r="AG66" s="28">
        <f t="shared" si="22"/>
        <v>1721</v>
      </c>
      <c r="AH66" s="28">
        <f t="shared" si="22"/>
        <v>2502</v>
      </c>
      <c r="AI66" s="34">
        <f t="shared" si="24"/>
        <v>143297</v>
      </c>
      <c r="AJ66" s="29">
        <f t="shared" si="9"/>
        <v>146677.42857142858</v>
      </c>
    </row>
    <row r="67" spans="3:36" x14ac:dyDescent="0.25">
      <c r="C67" s="26">
        <v>41122</v>
      </c>
      <c r="D67" s="27">
        <v>3674</v>
      </c>
      <c r="E67" s="27">
        <v>21071</v>
      </c>
      <c r="F67" s="27">
        <v>1192</v>
      </c>
      <c r="G67" s="27">
        <v>2828</v>
      </c>
      <c r="H67" s="27">
        <v>221</v>
      </c>
      <c r="I67" s="27">
        <v>442</v>
      </c>
      <c r="J67" s="27">
        <v>1</v>
      </c>
      <c r="K67" s="27">
        <v>392</v>
      </c>
      <c r="L67" s="27">
        <v>123</v>
      </c>
      <c r="N67" s="26">
        <v>41122</v>
      </c>
      <c r="O67" s="27">
        <v>27070</v>
      </c>
      <c r="P67" s="27">
        <v>48791</v>
      </c>
      <c r="Q67" s="27">
        <v>2881</v>
      </c>
      <c r="R67" s="27">
        <v>22418</v>
      </c>
      <c r="S67" s="27">
        <v>3612</v>
      </c>
      <c r="T67" s="27">
        <v>5418</v>
      </c>
      <c r="U67" s="27">
        <v>292</v>
      </c>
      <c r="V67" s="27">
        <v>1207</v>
      </c>
      <c r="W67" s="27">
        <v>1647</v>
      </c>
      <c r="Y67" s="26">
        <v>41122</v>
      </c>
      <c r="Z67" s="28">
        <f t="shared" si="22"/>
        <v>30744</v>
      </c>
      <c r="AA67" s="28">
        <f t="shared" si="22"/>
        <v>69862</v>
      </c>
      <c r="AB67" s="28">
        <f t="shared" si="22"/>
        <v>4073</v>
      </c>
      <c r="AC67" s="28">
        <f t="shared" si="22"/>
        <v>25246</v>
      </c>
      <c r="AD67" s="28">
        <f t="shared" si="22"/>
        <v>3833</v>
      </c>
      <c r="AE67" s="28">
        <f t="shared" si="22"/>
        <v>5860</v>
      </c>
      <c r="AF67" s="28">
        <f t="shared" si="22"/>
        <v>293</v>
      </c>
      <c r="AG67" s="28">
        <f t="shared" si="22"/>
        <v>1599</v>
      </c>
      <c r="AH67" s="28">
        <f t="shared" si="22"/>
        <v>1770</v>
      </c>
      <c r="AI67" s="34">
        <f t="shared" si="24"/>
        <v>143280</v>
      </c>
      <c r="AJ67" s="29">
        <f t="shared" si="9"/>
        <v>148764</v>
      </c>
    </row>
    <row r="68" spans="3:36" x14ac:dyDescent="0.25">
      <c r="C68" s="26">
        <v>41123</v>
      </c>
      <c r="D68" s="27">
        <v>5029</v>
      </c>
      <c r="E68" s="27">
        <v>13002</v>
      </c>
      <c r="F68" s="27">
        <v>1263</v>
      </c>
      <c r="G68" s="27">
        <v>2339</v>
      </c>
      <c r="H68" s="27">
        <v>128</v>
      </c>
      <c r="I68" s="27">
        <v>427</v>
      </c>
      <c r="J68" s="27">
        <v>7</v>
      </c>
      <c r="K68" s="27">
        <v>800</v>
      </c>
      <c r="L68" s="27">
        <v>82</v>
      </c>
      <c r="N68" s="26">
        <v>41123</v>
      </c>
      <c r="O68" s="27">
        <v>32554</v>
      </c>
      <c r="P68" s="27">
        <v>36899</v>
      </c>
      <c r="Q68" s="27">
        <v>2893</v>
      </c>
      <c r="R68" s="27">
        <v>18518</v>
      </c>
      <c r="S68" s="27">
        <v>2526</v>
      </c>
      <c r="T68" s="27">
        <v>4868</v>
      </c>
      <c r="U68" s="27">
        <v>430</v>
      </c>
      <c r="V68" s="27">
        <v>2396</v>
      </c>
      <c r="W68" s="27">
        <v>1677</v>
      </c>
      <c r="Y68" s="26">
        <v>41123</v>
      </c>
      <c r="Z68" s="28">
        <f t="shared" si="22"/>
        <v>37583</v>
      </c>
      <c r="AA68" s="28">
        <f t="shared" si="22"/>
        <v>49901</v>
      </c>
      <c r="AB68" s="28">
        <f t="shared" si="22"/>
        <v>4156</v>
      </c>
      <c r="AC68" s="28">
        <f t="shared" si="22"/>
        <v>20857</v>
      </c>
      <c r="AD68" s="28">
        <f t="shared" si="22"/>
        <v>2654</v>
      </c>
      <c r="AE68" s="28">
        <f t="shared" si="22"/>
        <v>5295</v>
      </c>
      <c r="AF68" s="28">
        <f t="shared" si="22"/>
        <v>437</v>
      </c>
      <c r="AG68" s="28">
        <f t="shared" si="22"/>
        <v>3196</v>
      </c>
      <c r="AH68" s="28">
        <f t="shared" si="22"/>
        <v>1759</v>
      </c>
      <c r="AI68" s="34">
        <f t="shared" si="24"/>
        <v>125838</v>
      </c>
      <c r="AJ68" s="29">
        <f t="shared" si="9"/>
        <v>150847.28571428571</v>
      </c>
    </row>
    <row r="69" spans="3:36" x14ac:dyDescent="0.25">
      <c r="C69" s="26">
        <v>41124</v>
      </c>
      <c r="D69" s="27">
        <v>4950</v>
      </c>
      <c r="E69" s="27">
        <v>8355</v>
      </c>
      <c r="F69" s="27">
        <v>2840</v>
      </c>
      <c r="G69" s="27">
        <v>2911</v>
      </c>
      <c r="H69" s="27">
        <v>85</v>
      </c>
      <c r="I69" s="27">
        <v>749</v>
      </c>
      <c r="J69" s="27">
        <v>1</v>
      </c>
      <c r="K69" s="27">
        <v>927</v>
      </c>
      <c r="L69" s="27">
        <v>120</v>
      </c>
      <c r="N69" s="26">
        <v>41124</v>
      </c>
      <c r="O69" s="27">
        <v>31992</v>
      </c>
      <c r="P69" s="27">
        <v>28386</v>
      </c>
      <c r="Q69" s="27">
        <v>5953</v>
      </c>
      <c r="R69" s="27">
        <v>13718</v>
      </c>
      <c r="S69" s="27">
        <v>3851</v>
      </c>
      <c r="T69" s="27">
        <v>5944</v>
      </c>
      <c r="U69" s="27">
        <v>136</v>
      </c>
      <c r="V69" s="27">
        <v>2095</v>
      </c>
      <c r="W69" s="27">
        <v>1460</v>
      </c>
      <c r="Y69" s="26">
        <v>41124</v>
      </c>
      <c r="Z69" s="28">
        <f t="shared" si="22"/>
        <v>36942</v>
      </c>
      <c r="AA69" s="28">
        <f t="shared" si="22"/>
        <v>36741</v>
      </c>
      <c r="AB69" s="28">
        <f t="shared" si="22"/>
        <v>8793</v>
      </c>
      <c r="AC69" s="28">
        <f t="shared" si="22"/>
        <v>16629</v>
      </c>
      <c r="AD69" s="28">
        <f t="shared" si="22"/>
        <v>3936</v>
      </c>
      <c r="AE69" s="28">
        <f t="shared" si="22"/>
        <v>6693</v>
      </c>
      <c r="AF69" s="28">
        <f t="shared" si="22"/>
        <v>137</v>
      </c>
      <c r="AG69" s="28">
        <f t="shared" si="22"/>
        <v>3022</v>
      </c>
      <c r="AH69" s="28">
        <f t="shared" si="22"/>
        <v>1580</v>
      </c>
      <c r="AI69" s="34">
        <f t="shared" si="24"/>
        <v>114473</v>
      </c>
      <c r="AJ69" s="29">
        <f t="shared" si="9"/>
        <v>151937.71428571429</v>
      </c>
    </row>
    <row r="70" spans="3:36" x14ac:dyDescent="0.25">
      <c r="C70" s="26">
        <v>41125</v>
      </c>
      <c r="D70" s="27">
        <v>12072</v>
      </c>
      <c r="E70" s="27">
        <v>18360</v>
      </c>
      <c r="F70" s="27">
        <v>2053</v>
      </c>
      <c r="G70" s="27">
        <v>4323</v>
      </c>
      <c r="H70" s="27">
        <v>198</v>
      </c>
      <c r="I70" s="27">
        <v>674</v>
      </c>
      <c r="J70" s="27">
        <v>3</v>
      </c>
      <c r="K70" s="27">
        <v>768</v>
      </c>
      <c r="L70" s="27">
        <v>163</v>
      </c>
      <c r="N70" s="26">
        <v>41125</v>
      </c>
      <c r="O70" s="27">
        <v>68888</v>
      </c>
      <c r="P70" s="27">
        <v>67764</v>
      </c>
      <c r="Q70" s="27">
        <v>4476</v>
      </c>
      <c r="R70" s="27">
        <v>17899</v>
      </c>
      <c r="S70" s="27">
        <v>763</v>
      </c>
      <c r="T70" s="27">
        <v>5890</v>
      </c>
      <c r="U70" s="27">
        <v>160</v>
      </c>
      <c r="V70" s="27">
        <v>2069</v>
      </c>
      <c r="W70" s="27">
        <v>2577</v>
      </c>
      <c r="Y70" s="26">
        <v>41125</v>
      </c>
      <c r="Z70" s="28">
        <f t="shared" si="22"/>
        <v>80960</v>
      </c>
      <c r="AA70" s="28">
        <f t="shared" si="22"/>
        <v>86124</v>
      </c>
      <c r="AB70" s="28">
        <f t="shared" si="22"/>
        <v>6529</v>
      </c>
      <c r="AC70" s="28">
        <f t="shared" si="22"/>
        <v>22222</v>
      </c>
      <c r="AD70" s="28">
        <f t="shared" si="22"/>
        <v>961</v>
      </c>
      <c r="AE70" s="28">
        <f t="shared" si="22"/>
        <v>6564</v>
      </c>
      <c r="AF70" s="28">
        <f t="shared" si="22"/>
        <v>163</v>
      </c>
      <c r="AG70" s="28">
        <f t="shared" si="22"/>
        <v>2837</v>
      </c>
      <c r="AH70" s="28">
        <f t="shared" si="22"/>
        <v>2740</v>
      </c>
      <c r="AI70" s="34">
        <f>SUM(Z70:AH70)</f>
        <v>209100</v>
      </c>
      <c r="AJ70" s="29">
        <f t="shared" si="9"/>
        <v>154121.71428571429</v>
      </c>
    </row>
    <row r="71" spans="3:36" x14ac:dyDescent="0.25">
      <c r="C71" s="26">
        <v>41126</v>
      </c>
      <c r="D71" s="27">
        <v>9371</v>
      </c>
      <c r="E71" s="27">
        <v>16988</v>
      </c>
      <c r="F71" s="27">
        <v>2207</v>
      </c>
      <c r="G71" s="27">
        <v>3999</v>
      </c>
      <c r="H71" s="27">
        <v>291</v>
      </c>
      <c r="I71" s="27">
        <v>837</v>
      </c>
      <c r="J71" s="27">
        <v>1</v>
      </c>
      <c r="K71" s="27">
        <v>785</v>
      </c>
      <c r="L71" s="27">
        <v>136</v>
      </c>
      <c r="N71" s="26">
        <v>41126</v>
      </c>
      <c r="O71" s="27">
        <v>48962</v>
      </c>
      <c r="P71" s="27">
        <v>61964</v>
      </c>
      <c r="Q71" s="27">
        <v>6525</v>
      </c>
      <c r="R71" s="27">
        <v>29279</v>
      </c>
      <c r="S71" s="27">
        <v>1224</v>
      </c>
      <c r="T71" s="27">
        <v>8180</v>
      </c>
      <c r="U71" s="27">
        <v>739</v>
      </c>
      <c r="V71" s="27">
        <v>2357</v>
      </c>
      <c r="W71" s="27">
        <v>2951</v>
      </c>
      <c r="Y71" s="26">
        <v>41126</v>
      </c>
      <c r="Z71" s="28">
        <f t="shared" ref="Z71:Z83" si="25">SUM(D71+O71)</f>
        <v>58333</v>
      </c>
      <c r="AA71" s="28">
        <f t="shared" ref="AA71:AA83" si="26">SUM(E71+P71)</f>
        <v>78952</v>
      </c>
      <c r="AB71" s="28">
        <f t="shared" ref="AB71:AB83" si="27">SUM(F71+Q71)</f>
        <v>8732</v>
      </c>
      <c r="AC71" s="28">
        <f t="shared" ref="AC71:AC83" si="28">SUM(G71+R71)</f>
        <v>33278</v>
      </c>
      <c r="AD71" s="28">
        <f t="shared" ref="AD71:AD83" si="29">SUM(H71+S71)</f>
        <v>1515</v>
      </c>
      <c r="AE71" s="28">
        <f t="shared" ref="AE71:AE83" si="30">SUM(I71+T71)</f>
        <v>9017</v>
      </c>
      <c r="AF71" s="28">
        <f t="shared" ref="AF71:AF83" si="31">SUM(J71+U71)</f>
        <v>740</v>
      </c>
      <c r="AG71" s="28">
        <f t="shared" ref="AG71:AG83" si="32">SUM(K71+V71)</f>
        <v>3142</v>
      </c>
      <c r="AH71" s="28">
        <f t="shared" ref="AH71:AH83" si="33">SUM(L71+W71)</f>
        <v>3087</v>
      </c>
      <c r="AI71" s="34">
        <f t="shared" ref="AI71:AI82" si="34">SUM(Z71:AH71)</f>
        <v>196796</v>
      </c>
      <c r="AJ71" s="32">
        <f t="shared" ref="AJ71:AJ79" si="35">SUM(AI65:AI71)/7</f>
        <v>153723.71428571429</v>
      </c>
    </row>
    <row r="72" spans="3:36" x14ac:dyDescent="0.25">
      <c r="C72" s="26">
        <v>41127</v>
      </c>
      <c r="D72" s="27">
        <v>6253</v>
      </c>
      <c r="E72" s="27">
        <v>12628</v>
      </c>
      <c r="F72" s="27">
        <v>1547</v>
      </c>
      <c r="G72" s="27">
        <v>2843</v>
      </c>
      <c r="H72" s="27">
        <v>154</v>
      </c>
      <c r="I72" s="27">
        <v>580</v>
      </c>
      <c r="J72" s="27">
        <v>0</v>
      </c>
      <c r="K72" s="27">
        <v>465</v>
      </c>
      <c r="L72" s="27">
        <v>133</v>
      </c>
      <c r="N72" s="26">
        <v>41127</v>
      </c>
      <c r="O72" s="27">
        <v>35632</v>
      </c>
      <c r="P72" s="27">
        <v>47194</v>
      </c>
      <c r="Q72" s="27">
        <v>4864</v>
      </c>
      <c r="R72" s="27">
        <v>58105</v>
      </c>
      <c r="S72" s="27">
        <v>2806</v>
      </c>
      <c r="T72" s="27">
        <v>6083</v>
      </c>
      <c r="U72" s="27">
        <v>446</v>
      </c>
      <c r="V72" s="27">
        <v>1805</v>
      </c>
      <c r="W72" s="27">
        <v>2331</v>
      </c>
      <c r="Y72" s="26">
        <v>41127</v>
      </c>
      <c r="Z72" s="28">
        <f t="shared" si="25"/>
        <v>41885</v>
      </c>
      <c r="AA72" s="28">
        <f t="shared" si="26"/>
        <v>59822</v>
      </c>
      <c r="AB72" s="28">
        <f t="shared" si="27"/>
        <v>6411</v>
      </c>
      <c r="AC72" s="28">
        <f t="shared" si="28"/>
        <v>60948</v>
      </c>
      <c r="AD72" s="28">
        <f t="shared" si="29"/>
        <v>2960</v>
      </c>
      <c r="AE72" s="28">
        <f t="shared" si="30"/>
        <v>6663</v>
      </c>
      <c r="AF72" s="28">
        <f t="shared" si="31"/>
        <v>446</v>
      </c>
      <c r="AG72" s="28">
        <f t="shared" si="32"/>
        <v>2270</v>
      </c>
      <c r="AH72" s="28">
        <f t="shared" si="33"/>
        <v>2464</v>
      </c>
      <c r="AI72" s="34">
        <f t="shared" si="34"/>
        <v>183869</v>
      </c>
      <c r="AJ72" s="32">
        <f>SUM(AI66:AI72)/7</f>
        <v>159521.85714285713</v>
      </c>
    </row>
    <row r="73" spans="3:36" x14ac:dyDescent="0.25">
      <c r="C73" s="26">
        <v>41128</v>
      </c>
      <c r="D73" s="27">
        <v>4116</v>
      </c>
      <c r="E73" s="27">
        <v>9679</v>
      </c>
      <c r="F73" s="27">
        <v>1035</v>
      </c>
      <c r="G73" s="27">
        <v>2983</v>
      </c>
      <c r="H73" s="27">
        <v>181</v>
      </c>
      <c r="I73" s="27">
        <v>435</v>
      </c>
      <c r="J73" s="27">
        <v>8</v>
      </c>
      <c r="K73" s="27">
        <v>703</v>
      </c>
      <c r="L73" s="27">
        <v>70</v>
      </c>
      <c r="N73" s="26">
        <v>41128</v>
      </c>
      <c r="O73" s="27">
        <v>34009</v>
      </c>
      <c r="P73" s="27">
        <v>43600</v>
      </c>
      <c r="Q73" s="27">
        <v>2436</v>
      </c>
      <c r="R73" s="27">
        <v>19069</v>
      </c>
      <c r="S73" s="27">
        <v>2874</v>
      </c>
      <c r="T73" s="27">
        <v>4402</v>
      </c>
      <c r="U73" s="27">
        <v>701</v>
      </c>
      <c r="V73" s="27">
        <v>3845</v>
      </c>
      <c r="W73" s="27">
        <v>3525</v>
      </c>
      <c r="Y73" s="26">
        <v>41128</v>
      </c>
      <c r="Z73" s="28">
        <f t="shared" si="25"/>
        <v>38125</v>
      </c>
      <c r="AA73" s="28">
        <f t="shared" si="26"/>
        <v>53279</v>
      </c>
      <c r="AB73" s="28">
        <f t="shared" si="27"/>
        <v>3471</v>
      </c>
      <c r="AC73" s="28">
        <f t="shared" si="28"/>
        <v>22052</v>
      </c>
      <c r="AD73" s="28">
        <f t="shared" si="29"/>
        <v>3055</v>
      </c>
      <c r="AE73" s="28">
        <f t="shared" si="30"/>
        <v>4837</v>
      </c>
      <c r="AF73" s="28">
        <f t="shared" si="31"/>
        <v>709</v>
      </c>
      <c r="AG73" s="28">
        <f t="shared" si="32"/>
        <v>4548</v>
      </c>
      <c r="AH73" s="28">
        <f t="shared" si="33"/>
        <v>3595</v>
      </c>
      <c r="AI73" s="34">
        <f t="shared" si="34"/>
        <v>133671</v>
      </c>
      <c r="AJ73" s="29">
        <f t="shared" si="35"/>
        <v>158146.71428571429</v>
      </c>
    </row>
    <row r="74" spans="3:36" x14ac:dyDescent="0.25">
      <c r="C74" s="26">
        <v>41129</v>
      </c>
      <c r="D74" s="27">
        <v>3690</v>
      </c>
      <c r="E74" s="27">
        <v>14456</v>
      </c>
      <c r="F74" s="27">
        <v>1272</v>
      </c>
      <c r="G74" s="27">
        <v>3638</v>
      </c>
      <c r="H74" s="27">
        <v>187</v>
      </c>
      <c r="I74" s="27">
        <v>571</v>
      </c>
      <c r="J74" s="27">
        <v>3</v>
      </c>
      <c r="K74" s="27">
        <v>733</v>
      </c>
      <c r="L74" s="27">
        <v>124</v>
      </c>
      <c r="N74" s="26">
        <v>41129</v>
      </c>
      <c r="O74" s="27">
        <v>29781</v>
      </c>
      <c r="P74" s="27">
        <v>47085</v>
      </c>
      <c r="Q74" s="27">
        <v>3223</v>
      </c>
      <c r="R74" s="27">
        <v>21697</v>
      </c>
      <c r="S74" s="27">
        <v>2443</v>
      </c>
      <c r="T74" s="27">
        <v>7051</v>
      </c>
      <c r="U74" s="27">
        <v>634</v>
      </c>
      <c r="V74" s="27">
        <v>2273</v>
      </c>
      <c r="W74" s="27">
        <v>2432</v>
      </c>
      <c r="Y74" s="26">
        <v>41129</v>
      </c>
      <c r="Z74" s="28">
        <f t="shared" si="25"/>
        <v>33471</v>
      </c>
      <c r="AA74" s="28">
        <f t="shared" si="26"/>
        <v>61541</v>
      </c>
      <c r="AB74" s="28">
        <f t="shared" si="27"/>
        <v>4495</v>
      </c>
      <c r="AC74" s="28">
        <f t="shared" si="28"/>
        <v>25335</v>
      </c>
      <c r="AD74" s="28">
        <f t="shared" si="29"/>
        <v>2630</v>
      </c>
      <c r="AE74" s="28">
        <f t="shared" si="30"/>
        <v>7622</v>
      </c>
      <c r="AF74" s="28">
        <f t="shared" si="31"/>
        <v>637</v>
      </c>
      <c r="AG74" s="28">
        <f t="shared" si="32"/>
        <v>3006</v>
      </c>
      <c r="AH74" s="28">
        <f t="shared" si="33"/>
        <v>2556</v>
      </c>
      <c r="AI74" s="34">
        <f t="shared" si="34"/>
        <v>141293</v>
      </c>
      <c r="AJ74" s="29">
        <f t="shared" si="35"/>
        <v>157862.85714285713</v>
      </c>
    </row>
    <row r="75" spans="3:36" x14ac:dyDescent="0.25">
      <c r="C75" s="26">
        <v>41130</v>
      </c>
      <c r="D75" s="27">
        <v>2218</v>
      </c>
      <c r="E75" s="27">
        <v>16293</v>
      </c>
      <c r="F75" s="27">
        <v>850</v>
      </c>
      <c r="G75" s="27">
        <v>2630</v>
      </c>
      <c r="H75" s="27">
        <v>127</v>
      </c>
      <c r="I75" s="27">
        <v>697</v>
      </c>
      <c r="J75" s="27">
        <v>2</v>
      </c>
      <c r="K75" s="27">
        <v>748</v>
      </c>
      <c r="L75" s="27">
        <v>153</v>
      </c>
      <c r="N75" s="26">
        <v>41130</v>
      </c>
      <c r="O75" s="27">
        <v>22525</v>
      </c>
      <c r="P75" s="27">
        <v>44851</v>
      </c>
      <c r="Q75" s="27">
        <v>2439</v>
      </c>
      <c r="R75" s="27">
        <v>12474</v>
      </c>
      <c r="S75" s="27">
        <v>1691</v>
      </c>
      <c r="T75" s="27">
        <v>4857</v>
      </c>
      <c r="U75" s="27">
        <v>814</v>
      </c>
      <c r="V75" s="27">
        <v>2533</v>
      </c>
      <c r="W75" s="27">
        <v>1695</v>
      </c>
      <c r="Y75" s="26">
        <v>41130</v>
      </c>
      <c r="Z75" s="28">
        <f t="shared" si="25"/>
        <v>24743</v>
      </c>
      <c r="AA75" s="28">
        <f t="shared" si="26"/>
        <v>61144</v>
      </c>
      <c r="AB75" s="28">
        <f t="shared" si="27"/>
        <v>3289</v>
      </c>
      <c r="AC75" s="28">
        <f t="shared" si="28"/>
        <v>15104</v>
      </c>
      <c r="AD75" s="28">
        <f t="shared" si="29"/>
        <v>1818</v>
      </c>
      <c r="AE75" s="28">
        <f t="shared" si="30"/>
        <v>5554</v>
      </c>
      <c r="AF75" s="28">
        <f t="shared" si="31"/>
        <v>816</v>
      </c>
      <c r="AG75" s="28">
        <f t="shared" si="32"/>
        <v>3281</v>
      </c>
      <c r="AH75" s="28">
        <f t="shared" si="33"/>
        <v>1848</v>
      </c>
      <c r="AI75" s="34">
        <f t="shared" si="34"/>
        <v>117597</v>
      </c>
      <c r="AJ75" s="29">
        <f>SUM(AI69:AI75)/7</f>
        <v>156685.57142857142</v>
      </c>
    </row>
    <row r="76" spans="3:36" x14ac:dyDescent="0.25">
      <c r="C76" s="26">
        <v>41131</v>
      </c>
      <c r="D76" s="27">
        <v>2211</v>
      </c>
      <c r="E76" s="27">
        <v>13045</v>
      </c>
      <c r="F76" s="27">
        <v>1257</v>
      </c>
      <c r="G76" s="27">
        <v>3245</v>
      </c>
      <c r="H76" s="27">
        <v>55</v>
      </c>
      <c r="I76" s="27">
        <v>556</v>
      </c>
      <c r="J76" s="27">
        <v>9</v>
      </c>
      <c r="K76" s="27">
        <v>1010</v>
      </c>
      <c r="L76" s="27">
        <v>158</v>
      </c>
      <c r="N76" s="26">
        <v>41131</v>
      </c>
      <c r="O76" s="27">
        <v>23303</v>
      </c>
      <c r="P76" s="27">
        <v>38404</v>
      </c>
      <c r="Q76" s="27">
        <v>3125</v>
      </c>
      <c r="R76" s="27">
        <v>19248</v>
      </c>
      <c r="S76" s="27">
        <v>1587</v>
      </c>
      <c r="T76" s="27">
        <v>4358</v>
      </c>
      <c r="U76" s="27">
        <v>1049</v>
      </c>
      <c r="V76" s="27">
        <v>3389</v>
      </c>
      <c r="W76" s="27">
        <v>1999</v>
      </c>
      <c r="Y76" s="26">
        <v>41131</v>
      </c>
      <c r="Z76" s="28">
        <f t="shared" si="25"/>
        <v>25514</v>
      </c>
      <c r="AA76" s="28">
        <f t="shared" si="26"/>
        <v>51449</v>
      </c>
      <c r="AB76" s="28">
        <f t="shared" si="27"/>
        <v>4382</v>
      </c>
      <c r="AC76" s="28">
        <f t="shared" si="28"/>
        <v>22493</v>
      </c>
      <c r="AD76" s="28">
        <f t="shared" si="29"/>
        <v>1642</v>
      </c>
      <c r="AE76" s="28">
        <f t="shared" si="30"/>
        <v>4914</v>
      </c>
      <c r="AF76" s="28">
        <f t="shared" si="31"/>
        <v>1058</v>
      </c>
      <c r="AG76" s="28">
        <f t="shared" si="32"/>
        <v>4399</v>
      </c>
      <c r="AH76" s="28">
        <f t="shared" si="33"/>
        <v>2157</v>
      </c>
      <c r="AI76" s="34">
        <f t="shared" si="34"/>
        <v>118008</v>
      </c>
      <c r="AJ76" s="29">
        <f t="shared" si="35"/>
        <v>157190.57142857142</v>
      </c>
    </row>
    <row r="77" spans="3:36" x14ac:dyDescent="0.25">
      <c r="C77" s="35">
        <v>41132</v>
      </c>
      <c r="D77" s="27">
        <v>5561</v>
      </c>
      <c r="E77" s="27">
        <v>7518</v>
      </c>
      <c r="F77" s="27">
        <v>1498</v>
      </c>
      <c r="G77" s="27">
        <v>6416</v>
      </c>
      <c r="H77" s="27">
        <v>91</v>
      </c>
      <c r="I77" s="27">
        <v>1246</v>
      </c>
      <c r="J77" s="27">
        <v>7</v>
      </c>
      <c r="K77" s="27">
        <v>1522</v>
      </c>
      <c r="L77" s="27">
        <v>161</v>
      </c>
      <c r="N77" s="26">
        <v>41132</v>
      </c>
      <c r="O77" s="27">
        <v>39696</v>
      </c>
      <c r="P77" s="27">
        <v>31967</v>
      </c>
      <c r="Q77" s="27">
        <v>2978</v>
      </c>
      <c r="R77" s="27">
        <v>55983</v>
      </c>
      <c r="S77" s="27">
        <v>574</v>
      </c>
      <c r="T77" s="27">
        <v>11140</v>
      </c>
      <c r="U77" s="27">
        <v>310</v>
      </c>
      <c r="V77" s="27">
        <v>2541</v>
      </c>
      <c r="W77" s="27">
        <v>2375</v>
      </c>
      <c r="Y77" s="26">
        <v>41132</v>
      </c>
      <c r="Z77" s="28">
        <f t="shared" si="25"/>
        <v>45257</v>
      </c>
      <c r="AA77" s="28">
        <f t="shared" si="26"/>
        <v>39485</v>
      </c>
      <c r="AB77" s="28">
        <f t="shared" si="27"/>
        <v>4476</v>
      </c>
      <c r="AC77" s="28">
        <f t="shared" si="28"/>
        <v>62399</v>
      </c>
      <c r="AD77" s="28">
        <f t="shared" si="29"/>
        <v>665</v>
      </c>
      <c r="AE77" s="28">
        <f t="shared" si="30"/>
        <v>12386</v>
      </c>
      <c r="AF77" s="28">
        <f t="shared" si="31"/>
        <v>317</v>
      </c>
      <c r="AG77" s="28">
        <f t="shared" si="32"/>
        <v>4063</v>
      </c>
      <c r="AH77" s="28">
        <f t="shared" si="33"/>
        <v>2536</v>
      </c>
      <c r="AI77" s="34">
        <f t="shared" si="34"/>
        <v>171584</v>
      </c>
      <c r="AJ77" s="29">
        <f>SUM(AI71:AI77)/7</f>
        <v>151831.14285714287</v>
      </c>
    </row>
    <row r="78" spans="3:36" x14ac:dyDescent="0.25">
      <c r="C78" s="26">
        <v>41133</v>
      </c>
      <c r="D78" s="27">
        <v>4200</v>
      </c>
      <c r="E78" s="27">
        <v>7320</v>
      </c>
      <c r="F78" s="27">
        <v>1404</v>
      </c>
      <c r="G78" s="27">
        <v>5187</v>
      </c>
      <c r="H78" s="27">
        <v>437</v>
      </c>
      <c r="I78" s="27">
        <v>931</v>
      </c>
      <c r="J78" s="27">
        <v>10</v>
      </c>
      <c r="K78" s="27">
        <v>1094</v>
      </c>
      <c r="L78" s="27">
        <v>74</v>
      </c>
      <c r="N78" s="26">
        <v>41133</v>
      </c>
      <c r="O78" s="27">
        <v>39667</v>
      </c>
      <c r="P78" s="27">
        <v>24018</v>
      </c>
      <c r="Q78" s="27">
        <v>1683</v>
      </c>
      <c r="R78" s="27">
        <v>42286</v>
      </c>
      <c r="S78" s="27">
        <v>1122</v>
      </c>
      <c r="T78" s="27">
        <v>9571</v>
      </c>
      <c r="U78" s="27">
        <v>503</v>
      </c>
      <c r="V78" s="27">
        <v>1986</v>
      </c>
      <c r="W78" s="27">
        <v>1699</v>
      </c>
      <c r="Y78" s="26">
        <v>41133</v>
      </c>
      <c r="Z78" s="28">
        <f t="shared" si="25"/>
        <v>43867</v>
      </c>
      <c r="AA78" s="28">
        <f t="shared" si="26"/>
        <v>31338</v>
      </c>
      <c r="AB78" s="28">
        <f t="shared" si="27"/>
        <v>3087</v>
      </c>
      <c r="AC78" s="28">
        <f t="shared" si="28"/>
        <v>47473</v>
      </c>
      <c r="AD78" s="28">
        <f t="shared" si="29"/>
        <v>1559</v>
      </c>
      <c r="AE78" s="28">
        <f t="shared" si="30"/>
        <v>10502</v>
      </c>
      <c r="AF78" s="28">
        <f t="shared" si="31"/>
        <v>513</v>
      </c>
      <c r="AG78" s="28">
        <f t="shared" si="32"/>
        <v>3080</v>
      </c>
      <c r="AH78" s="28">
        <f t="shared" si="33"/>
        <v>1773</v>
      </c>
      <c r="AI78" s="34">
        <f t="shared" si="34"/>
        <v>143192</v>
      </c>
      <c r="AJ78" s="29">
        <f>SUM(AI72:AI78)/7</f>
        <v>144173.42857142858</v>
      </c>
    </row>
    <row r="79" spans="3:36" x14ac:dyDescent="0.25">
      <c r="C79" s="26">
        <v>41134</v>
      </c>
      <c r="D79" s="27">
        <v>2942</v>
      </c>
      <c r="E79" s="27">
        <v>5566</v>
      </c>
      <c r="F79" s="27">
        <v>941</v>
      </c>
      <c r="G79" s="27">
        <v>3745</v>
      </c>
      <c r="H79" s="27">
        <v>146</v>
      </c>
      <c r="I79" s="27">
        <v>699</v>
      </c>
      <c r="J79" s="27">
        <v>9</v>
      </c>
      <c r="K79" s="27">
        <v>703</v>
      </c>
      <c r="L79" s="27">
        <v>67</v>
      </c>
      <c r="N79" s="26">
        <v>41134</v>
      </c>
      <c r="O79" s="27">
        <v>30820</v>
      </c>
      <c r="P79" s="27">
        <v>19329</v>
      </c>
      <c r="Q79" s="27">
        <v>1366</v>
      </c>
      <c r="R79" s="27">
        <v>38985</v>
      </c>
      <c r="S79" s="27">
        <v>2441</v>
      </c>
      <c r="T79" s="27">
        <v>7326</v>
      </c>
      <c r="U79" s="27">
        <v>381</v>
      </c>
      <c r="V79" s="27">
        <v>1644</v>
      </c>
      <c r="W79" s="27">
        <v>1657</v>
      </c>
      <c r="Y79" s="26">
        <v>41134</v>
      </c>
      <c r="Z79" s="28">
        <f t="shared" si="25"/>
        <v>33762</v>
      </c>
      <c r="AA79" s="28">
        <f t="shared" si="26"/>
        <v>24895</v>
      </c>
      <c r="AB79" s="28">
        <f t="shared" si="27"/>
        <v>2307</v>
      </c>
      <c r="AC79" s="28">
        <f t="shared" si="28"/>
        <v>42730</v>
      </c>
      <c r="AD79" s="28">
        <f t="shared" si="29"/>
        <v>2587</v>
      </c>
      <c r="AE79" s="28">
        <f t="shared" si="30"/>
        <v>8025</v>
      </c>
      <c r="AF79" s="28">
        <f t="shared" si="31"/>
        <v>390</v>
      </c>
      <c r="AG79" s="28">
        <f t="shared" si="32"/>
        <v>2347</v>
      </c>
      <c r="AH79" s="28">
        <f t="shared" si="33"/>
        <v>1724</v>
      </c>
      <c r="AI79" s="34">
        <f t="shared" si="34"/>
        <v>118767</v>
      </c>
      <c r="AJ79" s="32">
        <f t="shared" si="35"/>
        <v>134873.14285714287</v>
      </c>
    </row>
    <row r="80" spans="3:36" x14ac:dyDescent="0.25">
      <c r="C80" s="26">
        <v>41135</v>
      </c>
      <c r="D80" s="27">
        <v>2365</v>
      </c>
      <c r="E80" s="27">
        <v>7236</v>
      </c>
      <c r="F80" s="27">
        <v>2086</v>
      </c>
      <c r="G80" s="27">
        <v>2882</v>
      </c>
      <c r="H80" s="27">
        <v>272</v>
      </c>
      <c r="I80" s="27">
        <v>545</v>
      </c>
      <c r="J80" s="27">
        <v>5</v>
      </c>
      <c r="K80" s="27">
        <v>572</v>
      </c>
      <c r="L80" s="27">
        <v>92</v>
      </c>
      <c r="N80" s="26">
        <v>41135</v>
      </c>
      <c r="O80" s="27">
        <v>35788</v>
      </c>
      <c r="P80" s="27">
        <v>19976</v>
      </c>
      <c r="Q80" s="27">
        <v>1664</v>
      </c>
      <c r="R80" s="27">
        <v>33580</v>
      </c>
      <c r="S80" s="27">
        <v>6276</v>
      </c>
      <c r="T80" s="27">
        <v>5599</v>
      </c>
      <c r="U80" s="27">
        <v>175</v>
      </c>
      <c r="V80" s="27">
        <v>3018</v>
      </c>
      <c r="W80" s="27">
        <v>1668</v>
      </c>
      <c r="Y80" s="26">
        <v>41135</v>
      </c>
      <c r="Z80" s="28">
        <f t="shared" si="25"/>
        <v>38153</v>
      </c>
      <c r="AA80" s="28">
        <f t="shared" si="26"/>
        <v>27212</v>
      </c>
      <c r="AB80" s="28">
        <f t="shared" si="27"/>
        <v>3750</v>
      </c>
      <c r="AC80" s="28">
        <f t="shared" si="28"/>
        <v>36462</v>
      </c>
      <c r="AD80" s="28">
        <f t="shared" si="29"/>
        <v>6548</v>
      </c>
      <c r="AE80" s="28">
        <f t="shared" si="30"/>
        <v>6144</v>
      </c>
      <c r="AF80" s="28">
        <f t="shared" si="31"/>
        <v>180</v>
      </c>
      <c r="AG80" s="28">
        <f t="shared" si="32"/>
        <v>3590</v>
      </c>
      <c r="AH80" s="28">
        <f t="shared" si="33"/>
        <v>1760</v>
      </c>
      <c r="AI80" s="34">
        <f t="shared" si="34"/>
        <v>123799</v>
      </c>
      <c r="AJ80" s="32">
        <f t="shared" ref="AJ80:AJ87" si="36">SUM(AI74:AI80)/7</f>
        <v>133462.85714285713</v>
      </c>
    </row>
    <row r="81" spans="3:36" x14ac:dyDescent="0.25">
      <c r="C81" s="35">
        <v>41136</v>
      </c>
      <c r="D81" s="27">
        <v>8006</v>
      </c>
      <c r="E81" s="27">
        <v>10732</v>
      </c>
      <c r="F81" s="27">
        <v>1641</v>
      </c>
      <c r="G81" s="27">
        <v>4239</v>
      </c>
      <c r="H81" s="27">
        <v>88</v>
      </c>
      <c r="I81" s="27">
        <v>483</v>
      </c>
      <c r="J81" s="27">
        <v>10</v>
      </c>
      <c r="K81" s="27">
        <v>1425</v>
      </c>
      <c r="L81" s="27">
        <v>155</v>
      </c>
      <c r="N81" s="26">
        <v>41136</v>
      </c>
      <c r="O81" s="27">
        <v>46470</v>
      </c>
      <c r="P81" s="27">
        <v>45971</v>
      </c>
      <c r="Q81" s="27">
        <v>2201</v>
      </c>
      <c r="R81" s="27">
        <v>24177</v>
      </c>
      <c r="S81" s="27">
        <v>532</v>
      </c>
      <c r="T81" s="27">
        <v>6328</v>
      </c>
      <c r="U81" s="27">
        <v>337</v>
      </c>
      <c r="V81" s="27">
        <v>3506</v>
      </c>
      <c r="W81" s="27">
        <v>934</v>
      </c>
      <c r="Y81" s="26">
        <v>41136</v>
      </c>
      <c r="Z81" s="28">
        <f t="shared" si="25"/>
        <v>54476</v>
      </c>
      <c r="AA81" s="28">
        <f t="shared" si="26"/>
        <v>56703</v>
      </c>
      <c r="AB81" s="28">
        <f t="shared" si="27"/>
        <v>3842</v>
      </c>
      <c r="AC81" s="28">
        <f t="shared" si="28"/>
        <v>28416</v>
      </c>
      <c r="AD81" s="28">
        <f t="shared" si="29"/>
        <v>620</v>
      </c>
      <c r="AE81" s="28">
        <f t="shared" si="30"/>
        <v>6811</v>
      </c>
      <c r="AF81" s="28">
        <f t="shared" si="31"/>
        <v>347</v>
      </c>
      <c r="AG81" s="28">
        <f t="shared" si="32"/>
        <v>4931</v>
      </c>
      <c r="AH81" s="28">
        <f t="shared" si="33"/>
        <v>1089</v>
      </c>
      <c r="AI81" s="34">
        <f t="shared" si="34"/>
        <v>157235</v>
      </c>
      <c r="AJ81" s="29">
        <f t="shared" si="36"/>
        <v>135740.28571428571</v>
      </c>
    </row>
    <row r="82" spans="3:36" x14ac:dyDescent="0.25">
      <c r="C82" s="26">
        <v>41137</v>
      </c>
      <c r="D82" s="27">
        <v>5981</v>
      </c>
      <c r="E82" s="27">
        <v>7337</v>
      </c>
      <c r="F82" s="27">
        <v>1033</v>
      </c>
      <c r="G82" s="27">
        <v>3490</v>
      </c>
      <c r="H82" s="27">
        <v>55</v>
      </c>
      <c r="I82" s="27">
        <v>354</v>
      </c>
      <c r="J82" s="27">
        <v>8</v>
      </c>
      <c r="K82" s="27">
        <v>920</v>
      </c>
      <c r="L82" s="27">
        <v>107</v>
      </c>
      <c r="N82" s="26">
        <v>41137</v>
      </c>
      <c r="O82" s="27">
        <v>34600</v>
      </c>
      <c r="P82" s="27">
        <v>37231</v>
      </c>
      <c r="Q82" s="27">
        <v>1797</v>
      </c>
      <c r="R82" s="27">
        <v>23359</v>
      </c>
      <c r="S82" s="27">
        <v>957</v>
      </c>
      <c r="T82" s="27">
        <v>4248</v>
      </c>
      <c r="U82" s="27">
        <v>239</v>
      </c>
      <c r="V82" s="27">
        <v>3837</v>
      </c>
      <c r="W82" s="27">
        <v>977</v>
      </c>
      <c r="Y82" s="26">
        <v>41137</v>
      </c>
      <c r="Z82" s="28">
        <f t="shared" si="25"/>
        <v>40581</v>
      </c>
      <c r="AA82" s="28">
        <f t="shared" si="26"/>
        <v>44568</v>
      </c>
      <c r="AB82" s="28">
        <f t="shared" si="27"/>
        <v>2830</v>
      </c>
      <c r="AC82" s="28">
        <f t="shared" si="28"/>
        <v>26849</v>
      </c>
      <c r="AD82" s="28">
        <f t="shared" si="29"/>
        <v>1012</v>
      </c>
      <c r="AE82" s="28">
        <f t="shared" si="30"/>
        <v>4602</v>
      </c>
      <c r="AF82" s="28">
        <f t="shared" si="31"/>
        <v>247</v>
      </c>
      <c r="AG82" s="28">
        <f t="shared" si="32"/>
        <v>4757</v>
      </c>
      <c r="AH82" s="28">
        <f t="shared" si="33"/>
        <v>1084</v>
      </c>
      <c r="AI82" s="34">
        <f t="shared" si="34"/>
        <v>126530</v>
      </c>
      <c r="AJ82" s="29">
        <f t="shared" si="36"/>
        <v>137016.42857142858</v>
      </c>
    </row>
    <row r="83" spans="3:36" x14ac:dyDescent="0.25">
      <c r="C83" s="26">
        <v>41138</v>
      </c>
      <c r="D83" s="27">
        <v>4903</v>
      </c>
      <c r="E83" s="27">
        <v>5688</v>
      </c>
      <c r="F83" s="27">
        <v>1228</v>
      </c>
      <c r="G83" s="27">
        <v>2733</v>
      </c>
      <c r="H83" s="27">
        <v>51</v>
      </c>
      <c r="I83" s="27">
        <v>456</v>
      </c>
      <c r="J83" s="27">
        <v>4</v>
      </c>
      <c r="K83" s="27">
        <v>840</v>
      </c>
      <c r="L83" s="27">
        <v>90</v>
      </c>
      <c r="N83" s="26">
        <v>41138</v>
      </c>
      <c r="O83" s="27">
        <v>39663</v>
      </c>
      <c r="P83" s="27">
        <v>29048</v>
      </c>
      <c r="Q83" s="27">
        <v>2763</v>
      </c>
      <c r="R83" s="27">
        <v>18300</v>
      </c>
      <c r="S83" s="27">
        <v>2089</v>
      </c>
      <c r="T83" s="27">
        <v>5451</v>
      </c>
      <c r="U83" s="27">
        <v>346</v>
      </c>
      <c r="V83" s="27">
        <v>2261</v>
      </c>
      <c r="W83" s="27">
        <v>1318</v>
      </c>
      <c r="Y83" s="26">
        <v>41138</v>
      </c>
      <c r="Z83" s="28">
        <f t="shared" si="25"/>
        <v>44566</v>
      </c>
      <c r="AA83" s="28">
        <f t="shared" si="26"/>
        <v>34736</v>
      </c>
      <c r="AB83" s="28">
        <f t="shared" si="27"/>
        <v>3991</v>
      </c>
      <c r="AC83" s="28">
        <f t="shared" si="28"/>
        <v>21033</v>
      </c>
      <c r="AD83" s="28">
        <f t="shared" si="29"/>
        <v>2140</v>
      </c>
      <c r="AE83" s="28">
        <f t="shared" si="30"/>
        <v>5907</v>
      </c>
      <c r="AF83" s="28">
        <f t="shared" si="31"/>
        <v>350</v>
      </c>
      <c r="AG83" s="28">
        <f t="shared" si="32"/>
        <v>3101</v>
      </c>
      <c r="AH83" s="28">
        <f t="shared" si="33"/>
        <v>1408</v>
      </c>
      <c r="AI83" s="34">
        <f>SUM(Z83:AH83)</f>
        <v>117232</v>
      </c>
      <c r="AJ83" s="29">
        <f t="shared" si="36"/>
        <v>136905.57142857142</v>
      </c>
    </row>
    <row r="84" spans="3:36" x14ac:dyDescent="0.25">
      <c r="C84" s="26">
        <v>41139</v>
      </c>
      <c r="D84" s="27">
        <v>5586</v>
      </c>
      <c r="E84" s="27">
        <v>3942</v>
      </c>
      <c r="F84" s="27">
        <v>1552</v>
      </c>
      <c r="G84" s="27">
        <v>4001</v>
      </c>
      <c r="H84" s="27">
        <v>119</v>
      </c>
      <c r="I84" s="27">
        <v>918</v>
      </c>
      <c r="J84" s="27">
        <v>12</v>
      </c>
      <c r="K84" s="27">
        <v>861</v>
      </c>
      <c r="L84" s="27">
        <v>178</v>
      </c>
      <c r="N84" s="26">
        <v>41139</v>
      </c>
      <c r="O84" s="27">
        <v>41704</v>
      </c>
      <c r="P84" s="27">
        <v>22355</v>
      </c>
      <c r="Q84" s="27">
        <v>2936</v>
      </c>
      <c r="R84" s="27">
        <v>21355</v>
      </c>
      <c r="S84" s="27">
        <v>1886</v>
      </c>
      <c r="T84" s="27">
        <v>8213</v>
      </c>
      <c r="U84" s="27">
        <v>386</v>
      </c>
      <c r="V84" s="27">
        <v>1482</v>
      </c>
      <c r="W84" s="27">
        <v>2344</v>
      </c>
      <c r="Y84" s="26">
        <v>41139</v>
      </c>
      <c r="Z84" s="28">
        <f t="shared" ref="Z84:Z87" si="37">SUM(D84+O84)</f>
        <v>47290</v>
      </c>
      <c r="AA84" s="28">
        <f t="shared" ref="AA84:AA87" si="38">SUM(E84+P84)</f>
        <v>26297</v>
      </c>
      <c r="AB84" s="28">
        <f t="shared" ref="AB84:AB87" si="39">SUM(F84+Q84)</f>
        <v>4488</v>
      </c>
      <c r="AC84" s="28">
        <f t="shared" ref="AC84:AC87" si="40">SUM(G84+R84)</f>
        <v>25356</v>
      </c>
      <c r="AD84" s="28">
        <f t="shared" ref="AD84:AD87" si="41">SUM(H84+S84)</f>
        <v>2005</v>
      </c>
      <c r="AE84" s="28">
        <f t="shared" ref="AE84:AE87" si="42">SUM(I84+T84)</f>
        <v>9131</v>
      </c>
      <c r="AF84" s="28">
        <f t="shared" ref="AF84:AF87" si="43">SUM(J84+U84)</f>
        <v>398</v>
      </c>
      <c r="AG84" s="28">
        <f t="shared" ref="AG84:AG87" si="44">SUM(K84+V84)</f>
        <v>2343</v>
      </c>
      <c r="AH84" s="28">
        <f t="shared" ref="AH84:AH87" si="45">SUM(L84+W84)</f>
        <v>2522</v>
      </c>
      <c r="AI84" s="34">
        <f t="shared" ref="AI84:AI85" si="46">SUM(Z84:AH84)</f>
        <v>119830</v>
      </c>
      <c r="AJ84" s="29">
        <f t="shared" si="36"/>
        <v>129512.14285714286</v>
      </c>
    </row>
    <row r="85" spans="3:36" x14ac:dyDescent="0.25">
      <c r="C85" s="26">
        <v>41140</v>
      </c>
      <c r="D85" s="27">
        <v>4547</v>
      </c>
      <c r="E85" s="27">
        <v>4257</v>
      </c>
      <c r="F85" s="27">
        <v>1247</v>
      </c>
      <c r="G85" s="27">
        <v>3837</v>
      </c>
      <c r="H85" s="27">
        <v>118</v>
      </c>
      <c r="I85" s="27">
        <v>1395</v>
      </c>
      <c r="J85" s="27">
        <v>0</v>
      </c>
      <c r="K85" s="27">
        <v>707</v>
      </c>
      <c r="L85" s="27">
        <v>193</v>
      </c>
      <c r="N85" s="26">
        <v>41140</v>
      </c>
      <c r="O85" s="27">
        <v>36376</v>
      </c>
      <c r="P85" s="27">
        <v>24959</v>
      </c>
      <c r="Q85" s="27">
        <v>2285</v>
      </c>
      <c r="R85" s="27">
        <v>17588</v>
      </c>
      <c r="S85" s="27">
        <v>2589</v>
      </c>
      <c r="T85" s="27">
        <v>11726</v>
      </c>
      <c r="U85" s="27">
        <v>279</v>
      </c>
      <c r="V85" s="27">
        <v>1270</v>
      </c>
      <c r="W85" s="27">
        <v>2169</v>
      </c>
      <c r="Y85" s="26">
        <v>41140</v>
      </c>
      <c r="Z85" s="28">
        <f t="shared" si="37"/>
        <v>40923</v>
      </c>
      <c r="AA85" s="28">
        <f t="shared" si="38"/>
        <v>29216</v>
      </c>
      <c r="AB85" s="28">
        <f t="shared" si="39"/>
        <v>3532</v>
      </c>
      <c r="AC85" s="28">
        <f t="shared" si="40"/>
        <v>21425</v>
      </c>
      <c r="AD85" s="28">
        <f t="shared" si="41"/>
        <v>2707</v>
      </c>
      <c r="AE85" s="28">
        <f t="shared" si="42"/>
        <v>13121</v>
      </c>
      <c r="AF85" s="28">
        <f t="shared" si="43"/>
        <v>279</v>
      </c>
      <c r="AG85" s="28">
        <f t="shared" si="44"/>
        <v>1977</v>
      </c>
      <c r="AH85" s="28">
        <f t="shared" si="45"/>
        <v>2362</v>
      </c>
      <c r="AI85" s="34">
        <f t="shared" si="46"/>
        <v>115542</v>
      </c>
      <c r="AJ85" s="32">
        <f t="shared" si="36"/>
        <v>125562.14285714286</v>
      </c>
    </row>
    <row r="86" spans="3:36" x14ac:dyDescent="0.25">
      <c r="C86" s="26">
        <v>41141</v>
      </c>
      <c r="D86" s="27">
        <v>11614</v>
      </c>
      <c r="E86" s="27">
        <v>3084</v>
      </c>
      <c r="F86" s="27">
        <v>849</v>
      </c>
      <c r="G86" s="27">
        <v>3262</v>
      </c>
      <c r="H86" s="27">
        <v>54</v>
      </c>
      <c r="I86" s="27">
        <v>953</v>
      </c>
      <c r="J86" s="27">
        <v>0</v>
      </c>
      <c r="K86" s="27">
        <v>402</v>
      </c>
      <c r="L86" s="27">
        <v>137</v>
      </c>
      <c r="N86" s="26">
        <v>41141</v>
      </c>
      <c r="O86" s="27">
        <v>29476</v>
      </c>
      <c r="P86" s="27">
        <v>19691</v>
      </c>
      <c r="Q86" s="27">
        <v>1745</v>
      </c>
      <c r="R86" s="27">
        <v>15228</v>
      </c>
      <c r="S86" s="27">
        <v>1871</v>
      </c>
      <c r="T86" s="27">
        <v>8750</v>
      </c>
      <c r="U86" s="27">
        <v>166</v>
      </c>
      <c r="V86" s="27">
        <v>1122</v>
      </c>
      <c r="W86" s="27">
        <v>1510</v>
      </c>
      <c r="Y86" s="26">
        <v>41141</v>
      </c>
      <c r="Z86" s="28">
        <f t="shared" si="37"/>
        <v>41090</v>
      </c>
      <c r="AA86" s="28">
        <f t="shared" si="38"/>
        <v>22775</v>
      </c>
      <c r="AB86" s="28">
        <f t="shared" si="39"/>
        <v>2594</v>
      </c>
      <c r="AC86" s="28">
        <f t="shared" si="40"/>
        <v>18490</v>
      </c>
      <c r="AD86" s="28">
        <f t="shared" si="41"/>
        <v>1925</v>
      </c>
      <c r="AE86" s="28">
        <f t="shared" si="42"/>
        <v>9703</v>
      </c>
      <c r="AF86" s="28">
        <f t="shared" si="43"/>
        <v>166</v>
      </c>
      <c r="AG86" s="28">
        <f t="shared" si="44"/>
        <v>1524</v>
      </c>
      <c r="AH86" s="28">
        <f t="shared" si="45"/>
        <v>1647</v>
      </c>
      <c r="AI86" s="34">
        <f>SUM(Z86:AH86)</f>
        <v>99914</v>
      </c>
      <c r="AJ86" s="32">
        <f t="shared" si="36"/>
        <v>122868.85714285714</v>
      </c>
    </row>
    <row r="87" spans="3:36" x14ac:dyDescent="0.25">
      <c r="C87" s="26">
        <v>41142</v>
      </c>
      <c r="D87" s="27">
        <v>3793</v>
      </c>
      <c r="E87" s="27">
        <v>7361</v>
      </c>
      <c r="F87" s="27">
        <v>1021</v>
      </c>
      <c r="G87" s="27">
        <v>2037</v>
      </c>
      <c r="H87" s="27">
        <v>73</v>
      </c>
      <c r="I87" s="27">
        <v>627</v>
      </c>
      <c r="J87" s="27">
        <v>1</v>
      </c>
      <c r="K87" s="27">
        <v>724</v>
      </c>
      <c r="L87" s="27">
        <v>116</v>
      </c>
      <c r="N87" s="26">
        <v>41142</v>
      </c>
      <c r="O87" s="27">
        <v>47377</v>
      </c>
      <c r="P87" s="27">
        <v>25155</v>
      </c>
      <c r="Q87" s="27">
        <v>1458</v>
      </c>
      <c r="R87" s="27">
        <v>13560</v>
      </c>
      <c r="S87" s="27">
        <v>2457</v>
      </c>
      <c r="T87" s="27">
        <v>6927</v>
      </c>
      <c r="U87" s="27">
        <v>125</v>
      </c>
      <c r="V87" s="27">
        <v>2001</v>
      </c>
      <c r="W87" s="27">
        <v>2025</v>
      </c>
      <c r="Y87" s="26">
        <v>41142</v>
      </c>
      <c r="Z87" s="28">
        <f t="shared" si="37"/>
        <v>51170</v>
      </c>
      <c r="AA87" s="28">
        <f t="shared" si="38"/>
        <v>32516</v>
      </c>
      <c r="AB87" s="28">
        <f t="shared" si="39"/>
        <v>2479</v>
      </c>
      <c r="AC87" s="28">
        <f t="shared" si="40"/>
        <v>15597</v>
      </c>
      <c r="AD87" s="28">
        <f t="shared" si="41"/>
        <v>2530</v>
      </c>
      <c r="AE87" s="28">
        <f t="shared" si="42"/>
        <v>7554</v>
      </c>
      <c r="AF87" s="28">
        <f t="shared" si="43"/>
        <v>126</v>
      </c>
      <c r="AG87" s="28">
        <f t="shared" si="44"/>
        <v>2725</v>
      </c>
      <c r="AH87" s="28">
        <f t="shared" si="45"/>
        <v>2141</v>
      </c>
      <c r="AI87" s="34">
        <f>SUM(Z87:AH87)</f>
        <v>116838</v>
      </c>
      <c r="AJ87" s="32">
        <f t="shared" si="36"/>
        <v>121874.42857142857</v>
      </c>
    </row>
  </sheetData>
  <mergeCells count="3">
    <mergeCell ref="C2:L2"/>
    <mergeCell ref="N2:W2"/>
    <mergeCell ref="Y2:AJ2"/>
  </mergeCells>
  <conditionalFormatting sqref="Z4:AH87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{2AA54F6F-A08B-4537-B35C-4818F8C82EA5}</x14:id>
        </ext>
      </extLst>
    </cfRule>
    <cfRule type="colorScale" priority="76">
      <colorScale>
        <cfvo type="min"/>
        <cfvo type="max"/>
        <color theme="0"/>
        <color rgb="FFC00000"/>
      </colorScale>
    </cfRule>
  </conditionalFormatting>
  <conditionalFormatting sqref="Z4:Z87">
    <cfRule type="colorScale" priority="75">
      <colorScale>
        <cfvo type="min"/>
        <cfvo type="max"/>
        <color theme="0"/>
        <color rgb="FFC00000"/>
      </colorScale>
    </cfRule>
  </conditionalFormatting>
  <conditionalFormatting sqref="AC1:AC1048576">
    <cfRule type="colorScale" priority="71">
      <colorScale>
        <cfvo type="min"/>
        <cfvo type="max"/>
        <color rgb="FFFCFCFF"/>
        <color rgb="FFF8696B"/>
      </colorScale>
    </cfRule>
    <cfRule type="colorScale" priority="72">
      <colorScale>
        <cfvo type="min"/>
        <cfvo type="percentile" val="50"/>
        <cfvo type="max"/>
        <color theme="0"/>
        <color theme="0" tint="-0.249977111117893"/>
        <color theme="5" tint="0.39997558519241921"/>
      </colorScale>
    </cfRule>
  </conditionalFormatting>
  <conditionalFormatting sqref="Z1:Z1048576">
    <cfRule type="colorScale" priority="70">
      <colorScale>
        <cfvo type="min"/>
        <cfvo type="max"/>
        <color rgb="FFFCFCFF"/>
        <color rgb="FFF8696B"/>
      </colorScale>
    </cfRule>
  </conditionalFormatting>
  <conditionalFormatting sqref="AA1:AA1048576">
    <cfRule type="colorScale" priority="69">
      <colorScale>
        <cfvo type="min"/>
        <cfvo type="max"/>
        <color rgb="FFFCFCFF"/>
        <color rgb="FFF8696B"/>
      </colorScale>
    </cfRule>
  </conditionalFormatting>
  <conditionalFormatting sqref="AB1:AB1048576">
    <cfRule type="colorScale" priority="68">
      <colorScale>
        <cfvo type="min"/>
        <cfvo type="max"/>
        <color rgb="FFFCFCFF"/>
        <color rgb="FFF8696B"/>
      </colorScale>
    </cfRule>
  </conditionalFormatting>
  <conditionalFormatting sqref="AD1:AD1048576">
    <cfRule type="colorScale" priority="67">
      <colorScale>
        <cfvo type="min"/>
        <cfvo type="max"/>
        <color rgb="FFFCFCFF"/>
        <color rgb="FFF8696B"/>
      </colorScale>
    </cfRule>
  </conditionalFormatting>
  <conditionalFormatting sqref="AE1:AE1048576">
    <cfRule type="colorScale" priority="66">
      <colorScale>
        <cfvo type="min"/>
        <cfvo type="max"/>
        <color rgb="FFFCFCFF"/>
        <color rgb="FFF8696B"/>
      </colorScale>
    </cfRule>
  </conditionalFormatting>
  <conditionalFormatting sqref="AF1:AF1048576">
    <cfRule type="colorScale" priority="65">
      <colorScale>
        <cfvo type="min"/>
        <cfvo type="max"/>
        <color rgb="FFFCFCFF"/>
        <color rgb="FFF8696B"/>
      </colorScale>
    </cfRule>
  </conditionalFormatting>
  <conditionalFormatting sqref="AG1:AG1048576">
    <cfRule type="colorScale" priority="64">
      <colorScale>
        <cfvo type="min"/>
        <cfvo type="max"/>
        <color rgb="FFFCFCFF"/>
        <color rgb="FFF8696B"/>
      </colorScale>
    </cfRule>
  </conditionalFormatting>
  <conditionalFormatting sqref="AH1:AH1048576">
    <cfRule type="colorScale" priority="63">
      <colorScale>
        <cfvo type="min"/>
        <cfvo type="max"/>
        <color rgb="FFFCFCFF"/>
        <color rgb="FFF8696B"/>
      </colorScale>
    </cfRule>
  </conditionalFormatting>
  <conditionalFormatting sqref="AI1:AI1048576">
    <cfRule type="colorScale" priority="62">
      <colorScale>
        <cfvo type="min"/>
        <cfvo type="max"/>
        <color theme="0"/>
        <color theme="0" tint="-0.499984740745262"/>
      </colorScale>
    </cfRule>
  </conditionalFormatting>
  <conditionalFormatting sqref="AJ1:AJ1048576">
    <cfRule type="colorScale" priority="61">
      <colorScale>
        <cfvo type="min"/>
        <cfvo type="max"/>
        <color theme="0"/>
        <color theme="0" tint="-0.499984740745262"/>
      </colorScale>
    </cfRule>
  </conditionalFormatting>
  <conditionalFormatting sqref="AC24:AC87">
    <cfRule type="colorScale" priority="80">
      <colorScale>
        <cfvo type="min"/>
        <cfvo type="max"/>
        <color theme="0"/>
        <color rgb="FFC00000"/>
      </colorScale>
    </cfRule>
    <cfRule type="colorScale" priority="81">
      <colorScale>
        <cfvo type="min"/>
        <cfvo type="percentile" val="50"/>
        <cfvo type="max"/>
        <color theme="0"/>
        <color theme="1" tint="0.499984740745262"/>
        <color rgb="FFC00000"/>
      </colorScale>
    </cfRule>
  </conditionalFormatting>
  <conditionalFormatting sqref="Z69:AC87 AE69:AH87">
    <cfRule type="dataBar" priority="108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{195C86D3-70D0-4119-AAD0-7912F7F8C757}</x14:id>
        </ext>
      </extLst>
    </cfRule>
    <cfRule type="dataBar" priority="109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{4DC6E13F-E7F7-4DE8-A1B2-7F462E735CBD}</x14:id>
        </ext>
      </extLst>
    </cfRule>
  </conditionalFormatting>
  <pageMargins left="0.7" right="0.7" top="0.75" bottom="0.75" header="0.3" footer="0.3"/>
  <pageSetup paperSize="9" orientation="portrait" r:id="rId1"/>
  <ignoredErrors>
    <ignoredError sqref="Z4:AH5 AJ23:AJ43 AJ12:AJ21 AJ10:AJ11 AJ22 AJ44:AJ53 AJ56 AJ59:AJ61 AJ63:AJ67 AJ69:AJ70" calculatedColumn="1"/>
    <ignoredError sqref="AI4:AI5" formulaRange="1"/>
  </ignoredErrors>
  <drawing r:id="rId2"/>
  <legacyDrawing r:id="rId3"/>
  <controls>
    <mc:AlternateContent xmlns:mc="http://schemas.openxmlformats.org/markup-compatibility/2006">
      <mc:Choice Requires="x14">
        <control shapeId="12290" r:id="rId4" name="autoupdate_chb">
          <controlPr autoLine="0" r:id="rId5">
            <anchor moveWithCells="1">
              <from>
                <xdr:col>0</xdr:col>
                <xdr:colOff>95250</xdr:colOff>
                <xdr:row>2</xdr:row>
                <xdr:rowOff>47625</xdr:rowOff>
              </from>
              <to>
                <xdr:col>0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12290" r:id="rId4" name="autoupdate_chb"/>
      </mc:Fallback>
    </mc:AlternateContent>
    <mc:AlternateContent xmlns:mc="http://schemas.openxmlformats.org/markup-compatibility/2006">
      <mc:Choice Requires="x14">
        <control shapeId="12289" r:id="rId6" name="Aktualizuj">
          <controlPr defaultSize="0" autoLine="0" r:id="rId7">
            <anchor moveWithCells="1">
              <from>
                <xdr:col>0</xdr:col>
                <xdr:colOff>85725</xdr:colOff>
                <xdr:row>1</xdr:row>
                <xdr:rowOff>76200</xdr:rowOff>
              </from>
              <to>
                <xdr:col>0</xdr:col>
                <xdr:colOff>1114425</xdr:colOff>
                <xdr:row>1</xdr:row>
                <xdr:rowOff>381000</xdr:rowOff>
              </to>
            </anchor>
          </controlPr>
        </control>
      </mc:Choice>
      <mc:Fallback>
        <control shapeId="12289" r:id="rId6" name="Aktualizuj"/>
      </mc:Fallback>
    </mc:AlternateContent>
  </controls>
  <tableParts count="3"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AA54F6F-A08B-4537-B35C-4818F8C82EA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Z4:AH87</xm:sqref>
        </x14:conditionalFormatting>
        <x14:conditionalFormatting xmlns:xm="http://schemas.microsoft.com/office/excel/2006/main">
          <x14:cfRule type="dataBar" id="{195C86D3-70D0-4119-AAD0-7912F7F8C75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DC6E13F-E7F7-4DE8-A1B2-7F462E735CB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Z69:AC87 AE69:AH87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"/>
  <sheetViews>
    <sheetView showGridLines="0" zoomScaleNormal="100" workbookViewId="0">
      <selection activeCell="Q32" sqref="Q3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21"/>
  <sheetViews>
    <sheetView workbookViewId="0">
      <selection activeCell="F37" sqref="F37"/>
    </sheetView>
  </sheetViews>
  <sheetFormatPr defaultRowHeight="15" x14ac:dyDescent="0.25"/>
  <sheetData>
    <row r="21" spans="1:1" x14ac:dyDescent="0.25">
      <c r="A2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item1.xml>�� 
</file>

<file path=customXml/item2.xml>�� B B B B B [ B [ B [ B [ B [ B [ B [ B [ B [ B [ B [ B [ B [ B [ B [ B [ B [ B [ B [ B [ B [ B [ B [ B [ B [ B [ B [ B [ B [ B [ B B [ B [ B [ B [ B [ B [ B [ B [ B [ B [ B [ B [ B [ B [ B [ B [ B [ B [ B [ B [ B [ B [ B [ B [ B [ B [ B [ B [ B [ B [ B B [ B [ B [ B [ B [ B [ B [ B [ B [ B [ B [ B [ B [ B [ B [ B [ 
</file>

<file path=customXml/item3.xml>�� B B B 
</file>

<file path=customXml/item4.xml>�� 
</file>

<file path=customXml/item5.xml>�� 
</file>

<file path=customXml/item6.xml>�� 
</file>

<file path=customXml/item7.xml>�� B B B B B B B B B B B B | B B B B B B | | | 
</file>

<file path=customXml/item8.xml>�� 
</file>

<file path=customXml/item9.xml>�� 
</file>

<file path=customXml/item10.xml>�� 
</file>

<file path=customXml/item11.xml>�� 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3.xml>�� 
</file>

<file path=customXml/item14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0690CD24D2EDF419DE1AC241EF639F4" ma:contentTypeVersion="0" ma:contentTypeDescription="Utwórz nowy dokument." ma:contentTypeScope="" ma:versionID="16d481723e056339fefd277e3b09815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a4808c853e9eb948d4d7c462f60bb1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B B B B B B 
</file>

<file path=customXml/item22.xml>�� B B B 
</file>

<file path=customXml/item23.xml>�� 
</file>

<file path=customXml/item24.xml>�� 
</file>

<file path=customXml/item25.xml>�� B B B 
</file>

<file path=customXml/item26.xml>�� 
</file>

<file path=customXml/item2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8.xml>�� 
</file>

<file path=customXml/item29.xml>�� 
</file>

<file path=customXml/itemProps1.xml><?xml version="1.0" encoding="utf-8"?>
<ds:datastoreItem xmlns:ds="http://schemas.openxmlformats.org/officeDocument/2006/customXml" ds:itemID="{8A1CFAC7-42B0-4986-BF4B-C9A2328D3798}">
  <ds:schemaRefs/>
</ds:datastoreItem>
</file>

<file path=customXml/itemProps2.xml><?xml version="1.0" encoding="utf-8"?>
<ds:datastoreItem xmlns:ds="http://schemas.openxmlformats.org/officeDocument/2006/customXml" ds:itemID="{BF4280D8-CD97-4075-98F3-B3949993213E}">
  <ds:schemaRefs/>
</ds:datastoreItem>
</file>

<file path=customXml/itemProps3.xml><?xml version="1.0" encoding="utf-8"?>
<ds:datastoreItem xmlns:ds="http://schemas.openxmlformats.org/officeDocument/2006/customXml" ds:itemID="{32D4336D-A615-44BE-826C-C2AF44FCC1CD}">
  <ds:schemaRefs/>
</ds:datastoreItem>
</file>

<file path=customXml/itemProps4.xml><?xml version="1.0" encoding="utf-8"?>
<ds:datastoreItem xmlns:ds="http://schemas.openxmlformats.org/officeDocument/2006/customXml" ds:itemID="{8DD1F2B3-6275-48F6-B5C6-E807D69A76F8}">
  <ds:schemaRefs/>
</ds:datastoreItem>
</file>

<file path=customXml/itemProps5.xml><?xml version="1.0" encoding="utf-8"?>
<ds:datastoreItem xmlns:ds="http://schemas.openxmlformats.org/officeDocument/2006/customXml" ds:itemID="{CA7F9AB5-C46A-4B7B-8D1C-35F2E37BE727}">
  <ds:schemaRefs/>
</ds:datastoreItem>
</file>

<file path=customXml/itemProps6.xml><?xml version="1.0" encoding="utf-8"?>
<ds:datastoreItem xmlns:ds="http://schemas.openxmlformats.org/officeDocument/2006/customXml" ds:itemID="{BEA44023-836A-4763-A5B3-A2A2F6A5FC23}">
  <ds:schemaRefs/>
</ds:datastoreItem>
</file>

<file path=customXml/itemProps7.xml><?xml version="1.0" encoding="utf-8"?>
<ds:datastoreItem xmlns:ds="http://schemas.openxmlformats.org/officeDocument/2006/customXml" ds:itemID="{46403608-01D3-435E-93E1-B25E85649CF5}">
  <ds:schemaRefs/>
</ds:datastoreItem>
</file>

<file path=customXml/itemProps8.xml><?xml version="1.0" encoding="utf-8"?>
<ds:datastoreItem xmlns:ds="http://schemas.openxmlformats.org/officeDocument/2006/customXml" ds:itemID="{E97983DB-797C-41F5-804B-E512457CF855}">
  <ds:schemaRefs/>
</ds:datastoreItem>
</file>

<file path=customXml/itemProps9.xml><?xml version="1.0" encoding="utf-8"?>
<ds:datastoreItem xmlns:ds="http://schemas.openxmlformats.org/officeDocument/2006/customXml" ds:itemID="{C1615AD3-D616-4A84-9D48-38ECA18F4A2F}">
  <ds:schemaRefs/>
</ds:datastoreItem>
</file>

<file path=customXml/itemProps10.xml><?xml version="1.0" encoding="utf-8"?>
<ds:datastoreItem xmlns:ds="http://schemas.openxmlformats.org/officeDocument/2006/customXml" ds:itemID="{DA34C508-4C09-43A6-959F-F720C97DD16D}">
  <ds:schemaRefs/>
</ds:datastoreItem>
</file>

<file path=customXml/itemProps11.xml><?xml version="1.0" encoding="utf-8"?>
<ds:datastoreItem xmlns:ds="http://schemas.openxmlformats.org/officeDocument/2006/customXml" ds:itemID="{0319BC3B-2A2C-4A4B-8960-0080D1543BC2}">
  <ds:schemaRefs/>
</ds:datastoreItem>
</file>

<file path=customXml/itemProps12.xml><?xml version="1.0" encoding="utf-8"?>
<ds:datastoreItem xmlns:ds="http://schemas.openxmlformats.org/officeDocument/2006/customXml" ds:itemID="{9CCEC6E1-008F-447B-91C0-ED46009B04BD}">
  <ds:schemaRefs>
    <ds:schemaRef ds:uri="http://purl.org/dc/terms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13.xml><?xml version="1.0" encoding="utf-8"?>
<ds:datastoreItem xmlns:ds="http://schemas.openxmlformats.org/officeDocument/2006/customXml" ds:itemID="{4C5D0EC3-FDE9-49B3-A358-AADE2232E36E}">
  <ds:schemaRefs/>
</ds:datastoreItem>
</file>

<file path=customXml/itemProps14.xml><?xml version="1.0" encoding="utf-8"?>
<ds:datastoreItem xmlns:ds="http://schemas.openxmlformats.org/officeDocument/2006/customXml" ds:itemID="{A3274FBF-4B8C-4B87-8987-2648319C26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5.xml><?xml version="1.0" encoding="utf-8"?>
<ds:datastoreItem xmlns:ds="http://schemas.openxmlformats.org/officeDocument/2006/customXml" ds:itemID="{4AF0155A-3E0D-4FA5-9CF1-91BA8F100B9C}">
  <ds:schemaRefs/>
</ds:datastoreItem>
</file>

<file path=customXml/itemProps16.xml><?xml version="1.0" encoding="utf-8"?>
<ds:datastoreItem xmlns:ds="http://schemas.openxmlformats.org/officeDocument/2006/customXml" ds:itemID="{D5496D2E-1749-47EC-AC79-09497D4A2BBB}">
  <ds:schemaRefs/>
</ds:datastoreItem>
</file>

<file path=customXml/itemProps17.xml><?xml version="1.0" encoding="utf-8"?>
<ds:datastoreItem xmlns:ds="http://schemas.openxmlformats.org/officeDocument/2006/customXml" ds:itemID="{A75C6EAA-AF07-441C-B459-FF6FC875C156}">
  <ds:schemaRefs/>
</ds:datastoreItem>
</file>

<file path=customXml/itemProps18.xml><?xml version="1.0" encoding="utf-8"?>
<ds:datastoreItem xmlns:ds="http://schemas.openxmlformats.org/officeDocument/2006/customXml" ds:itemID="{F5F72054-8B2F-4965-AFFE-E8F35581AF6A}">
  <ds:schemaRefs/>
</ds:datastoreItem>
</file>

<file path=customXml/itemProps19.xml><?xml version="1.0" encoding="utf-8"?>
<ds:datastoreItem xmlns:ds="http://schemas.openxmlformats.org/officeDocument/2006/customXml" ds:itemID="{B7DA34D7-2B66-45CB-B436-2B671D22A074}">
  <ds:schemaRefs/>
</ds:datastoreItem>
</file>

<file path=customXml/itemProps20.xml><?xml version="1.0" encoding="utf-8"?>
<ds:datastoreItem xmlns:ds="http://schemas.openxmlformats.org/officeDocument/2006/customXml" ds:itemID="{E27181C0-F8EC-4B34-A885-CF24BDA682A9}">
  <ds:schemaRefs/>
</ds:datastoreItem>
</file>

<file path=customXml/itemProps21.xml><?xml version="1.0" encoding="utf-8"?>
<ds:datastoreItem xmlns:ds="http://schemas.openxmlformats.org/officeDocument/2006/customXml" ds:itemID="{7C8FE541-5B66-43CF-9E1F-6D97A2C494DB}">
  <ds:schemaRefs/>
</ds:datastoreItem>
</file>

<file path=customXml/itemProps22.xml><?xml version="1.0" encoding="utf-8"?>
<ds:datastoreItem xmlns:ds="http://schemas.openxmlformats.org/officeDocument/2006/customXml" ds:itemID="{533B38F8-7B52-4F21-92F2-4F5FE1EAF9B6}">
  <ds:schemaRefs/>
</ds:datastoreItem>
</file>

<file path=customXml/itemProps23.xml><?xml version="1.0" encoding="utf-8"?>
<ds:datastoreItem xmlns:ds="http://schemas.openxmlformats.org/officeDocument/2006/customXml" ds:itemID="{FAD0CE71-7475-4A2C-95A8-ADAE3F4CA78E}">
  <ds:schemaRefs/>
</ds:datastoreItem>
</file>

<file path=customXml/itemProps24.xml><?xml version="1.0" encoding="utf-8"?>
<ds:datastoreItem xmlns:ds="http://schemas.openxmlformats.org/officeDocument/2006/customXml" ds:itemID="{EF278019-1EF2-4459-8206-B2FBAEFA494D}">
  <ds:schemaRefs/>
</ds:datastoreItem>
</file>

<file path=customXml/itemProps25.xml><?xml version="1.0" encoding="utf-8"?>
<ds:datastoreItem xmlns:ds="http://schemas.openxmlformats.org/officeDocument/2006/customXml" ds:itemID="{58238C76-CA2E-4712-A624-D6C359A0EEAD}">
  <ds:schemaRefs/>
</ds:datastoreItem>
</file>

<file path=customXml/itemProps26.xml><?xml version="1.0" encoding="utf-8"?>
<ds:datastoreItem xmlns:ds="http://schemas.openxmlformats.org/officeDocument/2006/customXml" ds:itemID="{F4321716-98FC-4F9D-B62F-09669469E96F}">
  <ds:schemaRefs/>
</ds:datastoreItem>
</file>

<file path=customXml/itemProps27.xml><?xml version="1.0" encoding="utf-8"?>
<ds:datastoreItem xmlns:ds="http://schemas.openxmlformats.org/officeDocument/2006/customXml" ds:itemID="{87956E4D-1BD4-47F0-B18C-6ED2F13816CC}">
  <ds:schemaRefs>
    <ds:schemaRef ds:uri="http://schemas.microsoft.com/sharepoint/v3/contenttype/forms"/>
  </ds:schemaRefs>
</ds:datastoreItem>
</file>

<file path=customXml/itemProps28.xml><?xml version="1.0" encoding="utf-8"?>
<ds:datastoreItem xmlns:ds="http://schemas.openxmlformats.org/officeDocument/2006/customXml" ds:itemID="{AE3E41EC-BF8A-455C-948F-E9601DDC3BF5}">
  <ds:schemaRefs/>
</ds:datastoreItem>
</file>

<file path=customXml/itemProps29.xml><?xml version="1.0" encoding="utf-8"?>
<ds:datastoreItem xmlns:ds="http://schemas.openxmlformats.org/officeDocument/2006/customXml" ds:itemID="{9299C543-3E0F-4714-9E0C-22D6D994122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93</vt:i4>
      </vt:variant>
    </vt:vector>
  </HeadingPairs>
  <TitlesOfParts>
    <vt:vector size="96" baseType="lpstr">
      <vt:lpstr>Dane</vt:lpstr>
      <vt:lpstr>Wykresy</vt:lpstr>
      <vt:lpstr>TEMP</vt:lpstr>
      <vt:lpstr>TEMP!type_tweet</vt:lpstr>
      <vt:lpstr>TEMP!type_tweet_1525</vt:lpstr>
      <vt:lpstr>TEMP!type_tweet_1526</vt:lpstr>
      <vt:lpstr>TEMP!type_tweet_1527</vt:lpstr>
      <vt:lpstr>TEMP!type_tweet_1528</vt:lpstr>
      <vt:lpstr>TEMP!type_tweet_1529</vt:lpstr>
      <vt:lpstr>TEMP!type_tweet_1531</vt:lpstr>
      <vt:lpstr>TEMP!type_tweet_1533</vt:lpstr>
      <vt:lpstr>TEMP!type_tweet_1534</vt:lpstr>
      <vt:lpstr>TEMP!type_tweet_1536</vt:lpstr>
      <vt:lpstr>TEMP!type_tweet_1537</vt:lpstr>
      <vt:lpstr>TEMP!type_tweet_1539</vt:lpstr>
      <vt:lpstr>TEMP!type_tweet_1541</vt:lpstr>
      <vt:lpstr>TEMP!type_tweet_1542</vt:lpstr>
      <vt:lpstr>TEMP!type_tweet_1543</vt:lpstr>
      <vt:lpstr>TEMP!type_tweet_1545</vt:lpstr>
      <vt:lpstr>TEMP!type_tweet_1546</vt:lpstr>
      <vt:lpstr>TEMP!type_tweet_1547</vt:lpstr>
      <vt:lpstr>TEMP!type_tweet_1548</vt:lpstr>
      <vt:lpstr>TEMP!type_tweet_1549</vt:lpstr>
      <vt:lpstr>TEMP!type_tweet_1550</vt:lpstr>
      <vt:lpstr>TEMP!type_tweet_1551</vt:lpstr>
      <vt:lpstr>TEMP!type_tweet_1552</vt:lpstr>
      <vt:lpstr>TEMP!type_tweet_1553</vt:lpstr>
      <vt:lpstr>TEMP!type_tweet_1554</vt:lpstr>
      <vt:lpstr>TEMP!type_tweet_1555</vt:lpstr>
      <vt:lpstr>TEMP!type_tweet_1556</vt:lpstr>
      <vt:lpstr>TEMP!type_tweet_1557</vt:lpstr>
      <vt:lpstr>TEMP!type_tweet_1558</vt:lpstr>
      <vt:lpstr>TEMP!type_tweet_1559</vt:lpstr>
      <vt:lpstr>TEMP!type_tweet_1560</vt:lpstr>
      <vt:lpstr>TEMP!type_tweet_1561</vt:lpstr>
      <vt:lpstr>TEMP!type_tweet_1562</vt:lpstr>
      <vt:lpstr>TEMP!type_tweet_1563</vt:lpstr>
      <vt:lpstr>TEMP!type_tweet_1564</vt:lpstr>
      <vt:lpstr>TEMP!type_tweet_1565</vt:lpstr>
      <vt:lpstr>TEMP!type_tweet_1566</vt:lpstr>
      <vt:lpstr>TEMP!type_tweet_1568</vt:lpstr>
      <vt:lpstr>TEMP!type_tweet_1569</vt:lpstr>
      <vt:lpstr>TEMP!type_tweet_1570</vt:lpstr>
      <vt:lpstr>TEMP!type_tweet_1572</vt:lpstr>
      <vt:lpstr>TEMP!type_tweet_1573</vt:lpstr>
      <vt:lpstr>TEMP!type_tweet_1574</vt:lpstr>
      <vt:lpstr>TEMP!type_tweet_1575</vt:lpstr>
      <vt:lpstr>TEMP!type_tweet_1576</vt:lpstr>
      <vt:lpstr>TEMP!type_tweet_1577</vt:lpstr>
      <vt:lpstr>TEMP!type_tweet_1578</vt:lpstr>
      <vt:lpstr>TEMP!type_tweet_1579</vt:lpstr>
      <vt:lpstr>TEMP!type_tweet_1580</vt:lpstr>
      <vt:lpstr>TEMP!type_tweet_1581</vt:lpstr>
      <vt:lpstr>TEMP!type_tweet_1582</vt:lpstr>
      <vt:lpstr>TEMP!type_tweet_1583</vt:lpstr>
      <vt:lpstr>TEMP!type_tweet_1584</vt:lpstr>
      <vt:lpstr>TEMP!type_tweet_1585</vt:lpstr>
      <vt:lpstr>TEMP!type_tweet_1586</vt:lpstr>
      <vt:lpstr>TEMP!type_tweet_1587</vt:lpstr>
      <vt:lpstr>TEMP!type_tweet_1588</vt:lpstr>
      <vt:lpstr>TEMP!type_tweet_1589</vt:lpstr>
      <vt:lpstr>TEMP!type_tweet_1590</vt:lpstr>
      <vt:lpstr>TEMP!type_tweet_1591</vt:lpstr>
      <vt:lpstr>TEMP!type_tweet_1592</vt:lpstr>
      <vt:lpstr>TEMP!type_tweet_1593</vt:lpstr>
      <vt:lpstr>TEMP!type_tweet_1594</vt:lpstr>
      <vt:lpstr>TEMP!type_tweet_1595</vt:lpstr>
      <vt:lpstr>TEMP!type_tweet_1596</vt:lpstr>
      <vt:lpstr>TEMP!type_tweet_1597</vt:lpstr>
      <vt:lpstr>TEMP!type_tweet_1598</vt:lpstr>
      <vt:lpstr>TEMP!type_tweet_1599</vt:lpstr>
      <vt:lpstr>TEMP!type_tweet_1600</vt:lpstr>
      <vt:lpstr>TEMP!type_tweet_1601</vt:lpstr>
      <vt:lpstr>TEMP!type_tweet_1602</vt:lpstr>
      <vt:lpstr>TEMP!type_tweet_1603</vt:lpstr>
      <vt:lpstr>TEMP!type_tweet_1604</vt:lpstr>
      <vt:lpstr>TEMP!type_tweet_1605</vt:lpstr>
      <vt:lpstr>TEMP!type_tweet_1606</vt:lpstr>
      <vt:lpstr>TEMP!type_tweet_1607</vt:lpstr>
      <vt:lpstr>TEMP!type_tweet_1608</vt:lpstr>
      <vt:lpstr>TEMP!type_tweet_1609</vt:lpstr>
      <vt:lpstr>TEMP!type_tweet_1610</vt:lpstr>
      <vt:lpstr>TEMP!type_tweet_1611</vt:lpstr>
      <vt:lpstr>TEMP!type_tweet_1612</vt:lpstr>
      <vt:lpstr>TEMP!type_tweet_1613</vt:lpstr>
      <vt:lpstr>TEMP!type_tweet_1614</vt:lpstr>
      <vt:lpstr>TEMP!type_tweet_1615</vt:lpstr>
      <vt:lpstr>TEMP!type_tweet_1616</vt:lpstr>
      <vt:lpstr>TEMP!type_tweet_1617</vt:lpstr>
      <vt:lpstr>TEMP!type_tweet_1618</vt:lpstr>
      <vt:lpstr>TEMP!type_tweet_1619</vt:lpstr>
      <vt:lpstr>TEMP!type_tweet_1620</vt:lpstr>
      <vt:lpstr>TEMP!type_tweet_1621</vt:lpstr>
      <vt:lpstr>TEMP!type_tweet_1622</vt:lpstr>
      <vt:lpstr>TEMP!type_tweet_1623</vt:lpstr>
      <vt:lpstr>TEMP!type_tweet_1624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Piotr Zawieja</dc:creator>
  <cp:lastModifiedBy>Kownacki Mikołaj</cp:lastModifiedBy>
  <dcterms:created xsi:type="dcterms:W3CDTF">2012-04-12T15:00:03Z</dcterms:created>
  <dcterms:modified xsi:type="dcterms:W3CDTF">2012-08-21T14:18:10Z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0x010100A0690CD24D2EDF419DE1AC241EF639F4</vt:lpwstr>
  </property>
</Properties>
</file>